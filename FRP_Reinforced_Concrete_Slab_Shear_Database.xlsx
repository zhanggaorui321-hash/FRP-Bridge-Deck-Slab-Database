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郑愚老师项目\FRP reinforcing bars in concrete bridge deck slabs\20260706版本\新建文件夹\20260721\修订版本\202609014\20260919\20260922\"/>
    </mc:Choice>
  </mc:AlternateContent>
  <xr:revisionPtr revIDLastSave="0" documentId="13_ncr:1_{A8395562-3E02-418D-837F-C787378DC8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2" i="1" l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M72" i="1"/>
  <c r="N72" i="1" s="1"/>
  <c r="P72" i="1" s="1"/>
  <c r="M73" i="1"/>
  <c r="N73" i="1" s="1"/>
  <c r="P73" i="1" s="1"/>
  <c r="M74" i="1"/>
  <c r="N74" i="1" s="1"/>
  <c r="P74" i="1" s="1"/>
  <c r="M75" i="1"/>
  <c r="N75" i="1" s="1"/>
  <c r="P75" i="1" s="1"/>
  <c r="M76" i="1"/>
  <c r="N76" i="1" s="1"/>
  <c r="P76" i="1" s="1"/>
  <c r="M77" i="1"/>
  <c r="N77" i="1" s="1"/>
  <c r="P77" i="1" s="1"/>
  <c r="M78" i="1"/>
  <c r="N78" i="1" s="1"/>
  <c r="P78" i="1" s="1"/>
  <c r="M79" i="1"/>
  <c r="N79" i="1" s="1"/>
  <c r="P79" i="1" s="1"/>
  <c r="M80" i="1"/>
  <c r="N80" i="1" s="1"/>
  <c r="P80" i="1" s="1"/>
  <c r="M81" i="1"/>
  <c r="N81" i="1" s="1"/>
  <c r="P81" i="1" s="1"/>
  <c r="M82" i="1"/>
  <c r="N82" i="1" s="1"/>
  <c r="P82" i="1" s="1"/>
  <c r="M83" i="1"/>
  <c r="N83" i="1" s="1"/>
  <c r="P83" i="1" s="1"/>
  <c r="M84" i="1"/>
  <c r="N84" i="1" s="1"/>
  <c r="P84" i="1" s="1"/>
  <c r="M85" i="1"/>
  <c r="N85" i="1" s="1"/>
  <c r="P85" i="1" s="1"/>
  <c r="P67" i="1"/>
  <c r="P68" i="1"/>
  <c r="P69" i="1"/>
  <c r="P70" i="1"/>
  <c r="P71" i="1"/>
  <c r="S67" i="1"/>
  <c r="S68" i="1"/>
  <c r="S69" i="1"/>
  <c r="S70" i="1"/>
  <c r="S71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S66" i="1"/>
  <c r="S65" i="1"/>
  <c r="S64" i="1"/>
  <c r="S63" i="1"/>
  <c r="S62" i="1"/>
  <c r="S61" i="1"/>
  <c r="S60" i="1"/>
  <c r="S59" i="1"/>
  <c r="P59" i="1"/>
  <c r="P60" i="1"/>
  <c r="P61" i="1"/>
  <c r="P62" i="1"/>
  <c r="P63" i="1"/>
  <c r="P64" i="1"/>
  <c r="P65" i="1"/>
  <c r="P66" i="1"/>
  <c r="E53" i="1"/>
  <c r="E54" i="1"/>
  <c r="E55" i="1"/>
  <c r="E56" i="1"/>
  <c r="E57" i="1"/>
  <c r="E58" i="1"/>
  <c r="S55" i="1"/>
  <c r="S56" i="1"/>
  <c r="S57" i="1"/>
  <c r="S58" i="1"/>
  <c r="S54" i="1"/>
  <c r="S53" i="1"/>
  <c r="S52" i="1"/>
  <c r="M52" i="1"/>
  <c r="N52" i="1" s="1"/>
  <c r="P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E52" i="1"/>
  <c r="Q52" i="1" l="1"/>
  <c r="P53" i="1"/>
  <c r="Q53" i="1"/>
  <c r="P54" i="1"/>
  <c r="Q54" i="1"/>
  <c r="P55" i="1"/>
  <c r="Q55" i="1"/>
  <c r="Q56" i="1"/>
  <c r="P56" i="1"/>
  <c r="P57" i="1"/>
  <c r="Q57" i="1"/>
  <c r="Q58" i="1"/>
  <c r="P58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2" i="1"/>
  <c r="M51" i="1"/>
  <c r="N51" i="1" s="1"/>
  <c r="Q51" i="1" s="1"/>
  <c r="M50" i="1"/>
  <c r="N50" i="1" s="1"/>
  <c r="Q50" i="1" s="1"/>
  <c r="M49" i="1"/>
  <c r="N49" i="1" s="1"/>
  <c r="Q49" i="1" s="1"/>
  <c r="M48" i="1"/>
  <c r="N48" i="1" s="1"/>
  <c r="Q48" i="1" s="1"/>
  <c r="M47" i="1"/>
  <c r="N47" i="1" s="1"/>
  <c r="Q47" i="1" s="1"/>
  <c r="M46" i="1"/>
  <c r="N46" i="1" s="1"/>
  <c r="Q46" i="1" s="1"/>
  <c r="M45" i="1"/>
  <c r="N45" i="1" s="1"/>
  <c r="Q45" i="1" s="1"/>
  <c r="M44" i="1"/>
  <c r="N44" i="1" s="1"/>
  <c r="Q44" i="1" s="1"/>
  <c r="M43" i="1"/>
  <c r="N43" i="1" s="1"/>
  <c r="Q43" i="1" s="1"/>
  <c r="M42" i="1"/>
  <c r="N42" i="1" s="1"/>
  <c r="Q42" i="1" s="1"/>
  <c r="M36" i="1"/>
  <c r="N36" i="1" s="1"/>
  <c r="P36" i="1" s="1"/>
  <c r="M37" i="1"/>
  <c r="N37" i="1" s="1"/>
  <c r="Q37" i="1" s="1"/>
  <c r="M38" i="1"/>
  <c r="N38" i="1" s="1"/>
  <c r="Q38" i="1" s="1"/>
  <c r="M39" i="1"/>
  <c r="N39" i="1" s="1"/>
  <c r="Q39" i="1" s="1"/>
  <c r="M40" i="1"/>
  <c r="N40" i="1" s="1"/>
  <c r="Q40" i="1" s="1"/>
  <c r="M41" i="1"/>
  <c r="N41" i="1" s="1"/>
  <c r="Q41" i="1" s="1"/>
  <c r="M35" i="1"/>
  <c r="N35" i="1" s="1"/>
  <c r="Q35" i="1" s="1"/>
  <c r="N29" i="1"/>
  <c r="P29" i="1" s="1"/>
  <c r="N31" i="1"/>
  <c r="P31" i="1" s="1"/>
  <c r="N32" i="1"/>
  <c r="P32" i="1" s="1"/>
  <c r="N33" i="1"/>
  <c r="P33" i="1" s="1"/>
  <c r="N34" i="1"/>
  <c r="P34" i="1" s="1"/>
  <c r="N27" i="1"/>
  <c r="Q27" i="1" s="1"/>
  <c r="N28" i="1"/>
  <c r="P28" i="1" s="1"/>
  <c r="N30" i="1"/>
  <c r="P30" i="1" s="1"/>
  <c r="N21" i="1"/>
  <c r="Q21" i="1" s="1"/>
  <c r="N22" i="1"/>
  <c r="Q22" i="1" s="1"/>
  <c r="N23" i="1"/>
  <c r="P23" i="1" s="1"/>
  <c r="N24" i="1"/>
  <c r="P24" i="1" s="1"/>
  <c r="N25" i="1"/>
  <c r="Q25" i="1" s="1"/>
  <c r="N26" i="1"/>
  <c r="Q26" i="1" s="1"/>
  <c r="N18" i="1"/>
  <c r="P18" i="1" s="1"/>
  <c r="N20" i="1"/>
  <c r="P20" i="1" s="1"/>
  <c r="N19" i="1"/>
  <c r="P19" i="1" s="1"/>
  <c r="N3" i="1"/>
  <c r="N4" i="1"/>
  <c r="P4" i="1" s="1"/>
  <c r="N5" i="1"/>
  <c r="Q5" i="1" s="1"/>
  <c r="N6" i="1"/>
  <c r="Q6" i="1" s="1"/>
  <c r="N7" i="1"/>
  <c r="P7" i="1" s="1"/>
  <c r="N8" i="1"/>
  <c r="P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P14" i="1" s="1"/>
  <c r="N15" i="1"/>
  <c r="P15" i="1" s="1"/>
  <c r="N16" i="1"/>
  <c r="P16" i="1" s="1"/>
  <c r="N17" i="1"/>
  <c r="P17" i="1" s="1"/>
  <c r="N2" i="1"/>
  <c r="Q2" i="1" s="1"/>
  <c r="Q33" i="1" l="1"/>
  <c r="Q3" i="1"/>
  <c r="P3" i="1"/>
  <c r="Q32" i="1"/>
  <c r="Q23" i="1"/>
  <c r="Q8" i="1"/>
  <c r="Q7" i="1"/>
  <c r="Q24" i="1"/>
  <c r="Q16" i="1"/>
  <c r="Q15" i="1"/>
  <c r="Q30" i="1"/>
  <c r="Q17" i="1"/>
  <c r="Q14" i="1"/>
  <c r="Q20" i="1"/>
  <c r="Q36" i="1"/>
  <c r="Q28" i="1"/>
  <c r="Q31" i="1"/>
  <c r="Q29" i="1"/>
  <c r="Q19" i="1"/>
  <c r="Q4" i="1"/>
  <c r="Q18" i="1"/>
  <c r="Q34" i="1"/>
  <c r="P35" i="1"/>
  <c r="P41" i="1"/>
  <c r="P37" i="1"/>
  <c r="P49" i="1"/>
  <c r="P48" i="1"/>
  <c r="P45" i="1"/>
  <c r="P40" i="1"/>
  <c r="P47" i="1"/>
  <c r="P44" i="1"/>
  <c r="P39" i="1"/>
  <c r="P51" i="1"/>
  <c r="P43" i="1"/>
  <c r="P46" i="1"/>
  <c r="P38" i="1"/>
  <c r="P50" i="1"/>
  <c r="P42" i="1"/>
  <c r="P22" i="1"/>
  <c r="P26" i="1"/>
  <c r="P21" i="1"/>
  <c r="P27" i="1"/>
  <c r="P25" i="1"/>
  <c r="P5" i="1"/>
  <c r="P6" i="1"/>
  <c r="P13" i="1"/>
  <c r="P10" i="1"/>
  <c r="P11" i="1"/>
  <c r="P9" i="1"/>
  <c r="P12" i="1"/>
  <c r="P2" i="1"/>
</calcChain>
</file>

<file path=xl/sharedStrings.xml><?xml version="1.0" encoding="utf-8"?>
<sst xmlns="http://schemas.openxmlformats.org/spreadsheetml/2006/main" count="294" uniqueCount="64">
  <si>
    <t>4000*1000*200</t>
  </si>
  <si>
    <t>4000*1000*200</t>
    <phoneticPr fontId="1" type="noConversion"/>
  </si>
  <si>
    <t>Mechanisms of shear resistance of one-way concrete slabs reinforced with FRP bars</t>
    <phoneticPr fontId="1" type="noConversion"/>
  </si>
  <si>
    <t>GFRP</t>
    <phoneticPr fontId="1" type="noConversion"/>
  </si>
  <si>
    <t>CFRP</t>
    <phoneticPr fontId="1" type="noConversion"/>
  </si>
  <si>
    <t>Evaluation of Shear Behavior for One-Way Concrete Slabs Reinforced with Carbon-FRP Bars</t>
    <phoneticPr fontId="1" type="noConversion"/>
  </si>
  <si>
    <t>3100*1000*200</t>
  </si>
  <si>
    <t>3100*1000*200</t>
    <phoneticPr fontId="1" type="noConversion"/>
  </si>
  <si>
    <t>Serviceability of one-way high-volume fly ash-self-compacting concrete
slabs reinforced with basalt FRP bars</t>
    <phoneticPr fontId="1" type="noConversion"/>
  </si>
  <si>
    <t>2200*400*200</t>
  </si>
  <si>
    <t>2200*400*200</t>
    <phoneticPr fontId="1" type="noConversion"/>
  </si>
  <si>
    <t>2200*400*240</t>
    <phoneticPr fontId="1" type="noConversion"/>
  </si>
  <si>
    <t>BFRP</t>
    <phoneticPr fontId="1" type="noConversion"/>
  </si>
  <si>
    <t>Investigation of the Structural Behaviors of One-way HVFA-SCC Slabs
Reinforced by GFRP Bars</t>
    <phoneticPr fontId="1" type="noConversion"/>
  </si>
  <si>
    <t>Shear Strength of One-Way Concrete Slabs Reinforced with Fiber-Reinforced Polymer Composite Bars</t>
    <phoneticPr fontId="1" type="noConversion"/>
  </si>
  <si>
    <t>ACI440.1R-06</t>
    <phoneticPr fontId="2" type="noConversion"/>
  </si>
  <si>
    <t>CSA806-12</t>
    <phoneticPr fontId="2" type="noConversion"/>
  </si>
  <si>
    <t>JSCE-97</t>
    <phoneticPr fontId="2" type="noConversion"/>
  </si>
  <si>
    <t>IStructE  1999</t>
    <phoneticPr fontId="2" type="noConversion"/>
  </si>
  <si>
    <t>EI-Sayed et al.</t>
    <phoneticPr fontId="2" type="noConversion"/>
  </si>
  <si>
    <t>Kara</t>
    <phoneticPr fontId="2" type="noConversion"/>
  </si>
  <si>
    <t>Alam and Hussein</t>
    <phoneticPr fontId="2" type="noConversion"/>
  </si>
  <si>
    <t>Abdul-Salam</t>
    <phoneticPr fontId="2" type="noConversion"/>
  </si>
  <si>
    <t>Antonio et al</t>
    <phoneticPr fontId="2" type="noConversion"/>
  </si>
  <si>
    <t xml:space="preserve">Shear behaviour of one-way high strength plain and FRC slabs reinforced 
with basalt FRP bars </t>
    <phoneticPr fontId="1" type="noConversion"/>
  </si>
  <si>
    <t>2550*600*150</t>
    <phoneticPr fontId="1" type="noConversion"/>
  </si>
  <si>
    <t>-</t>
    <phoneticPr fontId="1" type="noConversion"/>
  </si>
  <si>
    <t>Flexural Behavior of Basalt Fiber–Reinforced Concrete Slab Strips with BFRP Bars
: Experimental Testing and Numerical Simulation</t>
    <phoneticPr fontId="1" type="noConversion"/>
  </si>
  <si>
    <t>2500*500*175</t>
    <phoneticPr fontId="1" type="noConversion"/>
  </si>
  <si>
    <t>10+12</t>
    <phoneticPr fontId="1" type="noConversion"/>
  </si>
  <si>
    <t>FJexuraI behavior or HSC one way slabs reinforced with basaJt FRP bars</t>
  </si>
  <si>
    <t>BFRP</t>
    <phoneticPr fontId="1" type="noConversion"/>
  </si>
  <si>
    <t>1700*700*120</t>
    <phoneticPr fontId="1" type="noConversion"/>
  </si>
  <si>
    <t>1700*700*140</t>
    <phoneticPr fontId="1" type="noConversion"/>
  </si>
  <si>
    <t>Behavior of One-Way Concrete Slabs Reinforced with GFRP Bars</t>
  </si>
  <si>
    <t>FRP rupture</t>
  </si>
  <si>
    <t>Shear failure</t>
  </si>
  <si>
    <t>Compressive failure</t>
  </si>
  <si>
    <t>GFRP</t>
    <phoneticPr fontId="1" type="noConversion"/>
  </si>
  <si>
    <t>4000*1200*150</t>
    <phoneticPr fontId="1" type="noConversion"/>
  </si>
  <si>
    <t>4000*1200*200</t>
    <phoneticPr fontId="1" type="noConversion"/>
  </si>
  <si>
    <t>Shear strength</t>
  </si>
  <si>
    <t>Dimensions</t>
  </si>
  <si>
    <t>span</t>
  </si>
  <si>
    <t>Shear span</t>
  </si>
  <si>
    <t>Shear-span-to-depth ratio (a/da/d)</t>
  </si>
  <si>
    <t>Width</t>
  </si>
  <si>
    <t>Concrete axial compressive strength</t>
  </si>
  <si>
    <t>Slab thickness</t>
  </si>
  <si>
    <t>Concrete cover</t>
  </si>
  <si>
    <t>Reinforcement type</t>
  </si>
  <si>
    <t>Number of bars</t>
  </si>
  <si>
    <t>Bar diameter</t>
  </si>
  <si>
    <t>Cross-sectional area</t>
  </si>
  <si>
    <t>Reinforcement area</t>
  </si>
  <si>
    <t>Elastic modulus of reinforcement</t>
  </si>
  <si>
    <t>Reinforcement axial stiffness</t>
  </si>
  <si>
    <t>Reinforcement ratio</t>
    <phoneticPr fontId="1" type="noConversion"/>
  </si>
  <si>
    <t>Nominal shear strength</t>
  </si>
  <si>
    <t>Failure mode</t>
  </si>
  <si>
    <t>Diagonal tension failure</t>
  </si>
  <si>
    <t>Shear-compression failure</t>
  </si>
  <si>
    <t>Shear-bond failure</t>
  </si>
  <si>
    <t>GFRP bar rupture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</si>
</sst>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/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5"/>
  <sheetViews>
    <sheetView tabSelected="1" zoomScaleNormal="100" workbookViewId="0">
      <selection activeCell="A2" sqref="A2:A17"/>
    </sheetView>
  </sheetViews>
  <sheetFormatPr defaultColWidth="8.875" defaultRowHeight="15" x14ac:dyDescent="0.2"/>
  <cols>
    <col min="1" max="1" width="92.75" style="4" bestFit="1" customWidth="1"/>
    <col min="2" max="6" width="21.5" style="7" customWidth="1"/>
    <col min="7" max="7" width="16.375" style="4" customWidth="1"/>
    <col min="8" max="8" width="13.125" style="7" customWidth="1"/>
    <col min="9" max="9" width="13.5" style="7" customWidth="1"/>
    <col min="10" max="11" width="13.5" style="4" customWidth="1"/>
    <col min="12" max="12" width="9.625" style="4" customWidth="1"/>
    <col min="13" max="14" width="9.625" style="7" customWidth="1"/>
    <col min="15" max="15" width="9.625" style="4" customWidth="1"/>
    <col min="16" max="16" width="9.5" style="7" bestFit="1" customWidth="1"/>
    <col min="17" max="17" width="8.875" style="4"/>
    <col min="18" max="18" width="8.875" style="7"/>
    <col min="19" max="19" width="14" style="7" bestFit="1" customWidth="1"/>
    <col min="20" max="20" width="39.625" style="7" customWidth="1"/>
    <col min="21" max="16384" width="8.875" style="7"/>
  </cols>
  <sheetData>
    <row r="1" spans="1:20" s="7" customFormat="1" x14ac:dyDescent="0.25">
      <c r="A1" s="4"/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6" t="s">
        <v>47</v>
      </c>
      <c r="H1" s="5" t="s">
        <v>48</v>
      </c>
      <c r="I1" s="5" t="s">
        <v>49</v>
      </c>
      <c r="J1" s="6" t="s">
        <v>50</v>
      </c>
      <c r="K1" s="6" t="s">
        <v>51</v>
      </c>
      <c r="L1" s="6" t="s">
        <v>52</v>
      </c>
      <c r="M1" s="5" t="s">
        <v>53</v>
      </c>
      <c r="N1" s="5" t="s">
        <v>54</v>
      </c>
      <c r="O1" s="6" t="s">
        <v>55</v>
      </c>
      <c r="P1" s="5" t="s">
        <v>56</v>
      </c>
      <c r="Q1" s="6" t="s">
        <v>57</v>
      </c>
      <c r="R1" s="5" t="s">
        <v>41</v>
      </c>
      <c r="S1" s="5" t="s">
        <v>58</v>
      </c>
      <c r="T1" s="5" t="s">
        <v>59</v>
      </c>
    </row>
    <row r="2" spans="1:20" s="7" customFormat="1" x14ac:dyDescent="0.25">
      <c r="A2" s="8" t="s">
        <v>2</v>
      </c>
      <c r="B2" s="7" t="s">
        <v>1</v>
      </c>
      <c r="C2" s="7">
        <v>3500</v>
      </c>
      <c r="D2" s="7">
        <v>850</v>
      </c>
      <c r="E2" s="7">
        <f>D2/(H2-I2-L2/2)</f>
        <v>6.0714285714285712</v>
      </c>
      <c r="F2" s="7">
        <v>1000</v>
      </c>
      <c r="G2" s="4">
        <v>47.9</v>
      </c>
      <c r="H2" s="7">
        <v>200</v>
      </c>
      <c r="I2" s="7">
        <v>50</v>
      </c>
      <c r="J2" s="4" t="s">
        <v>3</v>
      </c>
      <c r="K2" s="4">
        <v>5</v>
      </c>
      <c r="L2" s="4">
        <v>20</v>
      </c>
      <c r="M2" s="7">
        <v>284</v>
      </c>
      <c r="N2" s="7">
        <f>K2*M2</f>
        <v>1420</v>
      </c>
      <c r="O2" s="4">
        <v>40.799999999999997</v>
      </c>
      <c r="P2" s="7">
        <f>O2*N2</f>
        <v>57935.999999999993</v>
      </c>
      <c r="Q2" s="4">
        <f>N2/F2/(H2-I2-L2/2)</f>
        <v>1.0142857142857143E-2</v>
      </c>
      <c r="R2" s="7">
        <v>94</v>
      </c>
      <c r="S2" s="7">
        <f>R2/F2/H2*1000</f>
        <v>0.47</v>
      </c>
      <c r="T2" s="5" t="s">
        <v>60</v>
      </c>
    </row>
    <row r="3" spans="1:20" s="7" customFormat="1" x14ac:dyDescent="0.25">
      <c r="A3" s="8"/>
      <c r="B3" s="7" t="s">
        <v>1</v>
      </c>
      <c r="C3" s="7">
        <v>3500</v>
      </c>
      <c r="D3" s="7">
        <v>850</v>
      </c>
      <c r="E3" s="7">
        <f>D3/(H3-I3-L3/2)</f>
        <v>6.0714285714285712</v>
      </c>
      <c r="F3" s="7">
        <v>1000</v>
      </c>
      <c r="G3" s="4">
        <v>48.4</v>
      </c>
      <c r="H3" s="7">
        <v>200</v>
      </c>
      <c r="I3" s="7">
        <v>50</v>
      </c>
      <c r="J3" s="4" t="s">
        <v>3</v>
      </c>
      <c r="K3" s="4">
        <v>4</v>
      </c>
      <c r="L3" s="4">
        <v>20</v>
      </c>
      <c r="M3" s="7">
        <v>284</v>
      </c>
      <c r="N3" s="7">
        <f t="shared" ref="N3:N17" si="0">K3*M3</f>
        <v>1136</v>
      </c>
      <c r="O3" s="4">
        <v>49.8</v>
      </c>
      <c r="P3" s="7">
        <f t="shared" ref="P3:P17" si="1">O3*N3</f>
        <v>56572.799999999996</v>
      </c>
      <c r="Q3" s="4">
        <f>N3/F3/(H3-I3-L3/2)</f>
        <v>8.1142857142857128E-3</v>
      </c>
      <c r="R3" s="7">
        <v>106</v>
      </c>
      <c r="S3" s="7">
        <f>R3/F3/H3*1000</f>
        <v>0.53</v>
      </c>
      <c r="T3" s="5" t="s">
        <v>61</v>
      </c>
    </row>
    <row r="4" spans="1:20" s="7" customFormat="1" x14ac:dyDescent="0.25">
      <c r="A4" s="8"/>
      <c r="B4" s="7" t="s">
        <v>0</v>
      </c>
      <c r="C4" s="7">
        <v>3500</v>
      </c>
      <c r="D4" s="7">
        <v>850</v>
      </c>
      <c r="E4" s="7">
        <f>D4/(H4-I4-L4/2)</f>
        <v>6.0714285714285712</v>
      </c>
      <c r="F4" s="7">
        <v>1000</v>
      </c>
      <c r="G4" s="4">
        <v>42.9</v>
      </c>
      <c r="H4" s="7">
        <v>200</v>
      </c>
      <c r="I4" s="7">
        <v>50</v>
      </c>
      <c r="J4" s="4" t="s">
        <v>3</v>
      </c>
      <c r="K4" s="4">
        <v>5</v>
      </c>
      <c r="L4" s="4">
        <v>20</v>
      </c>
      <c r="M4" s="7">
        <v>284</v>
      </c>
      <c r="N4" s="7">
        <f t="shared" si="0"/>
        <v>1420</v>
      </c>
      <c r="O4" s="4">
        <v>67.8</v>
      </c>
      <c r="P4" s="7">
        <f t="shared" si="1"/>
        <v>96276</v>
      </c>
      <c r="Q4" s="4">
        <f>N4/F4/(H4-I4-L4/2)</f>
        <v>1.0142857142857143E-2</v>
      </c>
      <c r="R4" s="7">
        <v>155</v>
      </c>
      <c r="S4" s="7">
        <f>R4/F4/H4*1000</f>
        <v>0.77500000000000002</v>
      </c>
      <c r="T4" s="5" t="s">
        <v>60</v>
      </c>
    </row>
    <row r="5" spans="1:20" s="7" customFormat="1" x14ac:dyDescent="0.25">
      <c r="A5" s="8"/>
      <c r="B5" s="7" t="s">
        <v>0</v>
      </c>
      <c r="C5" s="7">
        <v>3500</v>
      </c>
      <c r="D5" s="7">
        <v>850</v>
      </c>
      <c r="E5" s="7">
        <f>D5/(H5-I5-L5/2)</f>
        <v>6.0714285714285712</v>
      </c>
      <c r="F5" s="7">
        <v>1000</v>
      </c>
      <c r="G5" s="4">
        <v>77.400000000000006</v>
      </c>
      <c r="H5" s="7">
        <v>200</v>
      </c>
      <c r="I5" s="7">
        <v>50</v>
      </c>
      <c r="J5" s="4" t="s">
        <v>3</v>
      </c>
      <c r="K5" s="4">
        <v>5</v>
      </c>
      <c r="L5" s="4">
        <v>20</v>
      </c>
      <c r="M5" s="7">
        <v>284</v>
      </c>
      <c r="N5" s="7">
        <f t="shared" si="0"/>
        <v>1420</v>
      </c>
      <c r="O5" s="4">
        <v>67.8</v>
      </c>
      <c r="P5" s="7">
        <f t="shared" si="1"/>
        <v>96276</v>
      </c>
      <c r="Q5" s="4">
        <f>N5/F5/(H5-I5-L5/2)</f>
        <v>1.0142857142857143E-2</v>
      </c>
      <c r="R5" s="7">
        <v>163</v>
      </c>
      <c r="S5" s="7">
        <f>R5/F5/H5*1000</f>
        <v>0.81500000000000006</v>
      </c>
      <c r="T5" s="5" t="s">
        <v>61</v>
      </c>
    </row>
    <row r="6" spans="1:20" s="7" customFormat="1" x14ac:dyDescent="0.25">
      <c r="A6" s="8"/>
      <c r="B6" s="7" t="s">
        <v>0</v>
      </c>
      <c r="C6" s="7">
        <v>3500</v>
      </c>
      <c r="D6" s="7">
        <v>850</v>
      </c>
      <c r="E6" s="7">
        <f>D6/(H6-I6-L6/2)</f>
        <v>6.0714285714285712</v>
      </c>
      <c r="F6" s="7">
        <v>1000</v>
      </c>
      <c r="G6" s="4">
        <v>82.6</v>
      </c>
      <c r="H6" s="7">
        <v>200</v>
      </c>
      <c r="I6" s="7">
        <v>50</v>
      </c>
      <c r="J6" s="4" t="s">
        <v>3</v>
      </c>
      <c r="K6" s="4">
        <v>5</v>
      </c>
      <c r="L6" s="4">
        <v>20</v>
      </c>
      <c r="M6" s="7">
        <v>284</v>
      </c>
      <c r="N6" s="7">
        <f t="shared" si="0"/>
        <v>1420</v>
      </c>
      <c r="O6" s="4">
        <v>67.8</v>
      </c>
      <c r="P6" s="7">
        <f t="shared" si="1"/>
        <v>96276</v>
      </c>
      <c r="Q6" s="4">
        <f>N6/F6/(H6-I6-L6/2)</f>
        <v>1.0142857142857143E-2</v>
      </c>
      <c r="R6" s="7">
        <v>145</v>
      </c>
      <c r="S6" s="7">
        <f>R6/F6/H6*1000</f>
        <v>0.72499999999999998</v>
      </c>
      <c r="T6" s="5" t="s">
        <v>61</v>
      </c>
    </row>
    <row r="7" spans="1:20" s="7" customFormat="1" x14ac:dyDescent="0.25">
      <c r="A7" s="8"/>
      <c r="B7" s="7" t="s">
        <v>0</v>
      </c>
      <c r="C7" s="7">
        <v>3500</v>
      </c>
      <c r="D7" s="7">
        <v>850</v>
      </c>
      <c r="E7" s="7">
        <f>D7/(H7-I7-L7/2)</f>
        <v>5.9233449477351918</v>
      </c>
      <c r="F7" s="7">
        <v>1000</v>
      </c>
      <c r="G7" s="4">
        <v>49.7</v>
      </c>
      <c r="H7" s="7">
        <v>200</v>
      </c>
      <c r="I7" s="7">
        <v>50</v>
      </c>
      <c r="J7" s="4" t="s">
        <v>4</v>
      </c>
      <c r="K7" s="4">
        <v>5</v>
      </c>
      <c r="L7" s="4">
        <v>13</v>
      </c>
      <c r="M7" s="7">
        <v>129</v>
      </c>
      <c r="N7" s="7">
        <f t="shared" si="0"/>
        <v>645</v>
      </c>
      <c r="O7" s="4">
        <v>139.19999999999999</v>
      </c>
      <c r="P7" s="7">
        <f t="shared" si="1"/>
        <v>89783.999999999985</v>
      </c>
      <c r="Q7" s="4">
        <f>N7/F7/(H7-I7-L7/2)</f>
        <v>4.4947735191637628E-3</v>
      </c>
      <c r="R7" s="7">
        <v>119</v>
      </c>
      <c r="S7" s="7">
        <f>R7/F7/H7*1000</f>
        <v>0.59499999999999997</v>
      </c>
      <c r="T7" s="5" t="s">
        <v>61</v>
      </c>
    </row>
    <row r="8" spans="1:20" s="7" customFormat="1" x14ac:dyDescent="0.25">
      <c r="A8" s="8"/>
      <c r="B8" s="7" t="s">
        <v>0</v>
      </c>
      <c r="C8" s="7">
        <v>3500</v>
      </c>
      <c r="D8" s="7">
        <v>850</v>
      </c>
      <c r="E8" s="7">
        <f>D8/(H8-I8-L8/2)</f>
        <v>6.1818181818181817</v>
      </c>
      <c r="F8" s="7">
        <v>1000</v>
      </c>
      <c r="G8" s="4">
        <v>47.9</v>
      </c>
      <c r="H8" s="7">
        <v>200</v>
      </c>
      <c r="I8" s="7">
        <v>50</v>
      </c>
      <c r="J8" s="4" t="s">
        <v>3</v>
      </c>
      <c r="K8" s="4">
        <v>5</v>
      </c>
      <c r="L8" s="4">
        <v>25</v>
      </c>
      <c r="M8" s="7">
        <v>510</v>
      </c>
      <c r="N8" s="7">
        <f t="shared" si="0"/>
        <v>2550</v>
      </c>
      <c r="O8" s="4">
        <v>43.9</v>
      </c>
      <c r="P8" s="7">
        <f t="shared" si="1"/>
        <v>111945</v>
      </c>
      <c r="Q8" s="4">
        <f>N8/F8/(H8-I8-L8/2)</f>
        <v>1.8545454545454546E-2</v>
      </c>
      <c r="R8" s="7">
        <v>121</v>
      </c>
      <c r="S8" s="7">
        <f>R8/F8/H8*1000</f>
        <v>0.60499999999999998</v>
      </c>
      <c r="T8" s="5" t="s">
        <v>60</v>
      </c>
    </row>
    <row r="9" spans="1:20" s="7" customFormat="1" x14ac:dyDescent="0.25">
      <c r="A9" s="8"/>
      <c r="B9" s="7" t="s">
        <v>0</v>
      </c>
      <c r="C9" s="7">
        <v>3500</v>
      </c>
      <c r="D9" s="7">
        <v>850</v>
      </c>
      <c r="E9" s="7">
        <f>D9/(H9-I9-L9/2)</f>
        <v>6.0714285714285712</v>
      </c>
      <c r="F9" s="7">
        <v>1000</v>
      </c>
      <c r="G9" s="4">
        <v>42.9</v>
      </c>
      <c r="H9" s="7">
        <v>200</v>
      </c>
      <c r="I9" s="7">
        <v>50</v>
      </c>
      <c r="J9" s="4" t="s">
        <v>3</v>
      </c>
      <c r="K9" s="4">
        <v>5</v>
      </c>
      <c r="L9" s="4">
        <v>20</v>
      </c>
      <c r="M9" s="7">
        <v>284</v>
      </c>
      <c r="N9" s="7">
        <f t="shared" si="0"/>
        <v>1420</v>
      </c>
      <c r="O9" s="4">
        <v>67.8</v>
      </c>
      <c r="P9" s="7">
        <f t="shared" si="1"/>
        <v>96276</v>
      </c>
      <c r="Q9" s="4">
        <f>N9/F9/(H9-I9-L9/2)</f>
        <v>1.0142857142857143E-2</v>
      </c>
      <c r="R9" s="7">
        <v>155</v>
      </c>
      <c r="S9" s="7">
        <f>R9/F9/H9*1000</f>
        <v>0.77500000000000002</v>
      </c>
      <c r="T9" s="5" t="s">
        <v>61</v>
      </c>
    </row>
    <row r="10" spans="1:20" s="7" customFormat="1" x14ac:dyDescent="0.25">
      <c r="A10" s="8"/>
      <c r="B10" s="7" t="s">
        <v>0</v>
      </c>
      <c r="C10" s="7">
        <v>3500</v>
      </c>
      <c r="D10" s="7">
        <v>850</v>
      </c>
      <c r="E10" s="7">
        <f>D10/(H10-I10-L10/2)</f>
        <v>6.0714285714285712</v>
      </c>
      <c r="F10" s="7">
        <v>1000</v>
      </c>
      <c r="G10" s="4">
        <v>49.4</v>
      </c>
      <c r="H10" s="7">
        <v>200</v>
      </c>
      <c r="I10" s="7">
        <v>50</v>
      </c>
      <c r="J10" s="4" t="s">
        <v>3</v>
      </c>
      <c r="K10" s="4">
        <v>6</v>
      </c>
      <c r="L10" s="4">
        <v>20</v>
      </c>
      <c r="M10" s="7">
        <v>284</v>
      </c>
      <c r="N10" s="7">
        <f t="shared" si="0"/>
        <v>1704</v>
      </c>
      <c r="O10" s="4">
        <v>67.8</v>
      </c>
      <c r="P10" s="7">
        <f t="shared" si="1"/>
        <v>115531.2</v>
      </c>
      <c r="Q10" s="4">
        <f>N10/F10/(H10-I10-L10/2)</f>
        <v>1.2171428571428571E-2</v>
      </c>
      <c r="R10" s="7">
        <v>167</v>
      </c>
      <c r="S10" s="7">
        <f>R10/F10/H10*1000</f>
        <v>0.83500000000000008</v>
      </c>
      <c r="T10" s="5" t="s">
        <v>60</v>
      </c>
    </row>
    <row r="11" spans="1:20" s="7" customFormat="1" x14ac:dyDescent="0.25">
      <c r="A11" s="8"/>
      <c r="B11" s="7" t="s">
        <v>0</v>
      </c>
      <c r="C11" s="7">
        <v>3500</v>
      </c>
      <c r="D11" s="7">
        <v>850</v>
      </c>
      <c r="E11" s="7">
        <f>D11/(H11-I11-L11/2)</f>
        <v>5.9233449477351918</v>
      </c>
      <c r="F11" s="7">
        <v>1000</v>
      </c>
      <c r="G11" s="4">
        <v>49.4</v>
      </c>
      <c r="H11" s="7">
        <v>200</v>
      </c>
      <c r="I11" s="7">
        <v>50</v>
      </c>
      <c r="J11" s="4" t="s">
        <v>4</v>
      </c>
      <c r="K11" s="4">
        <v>6</v>
      </c>
      <c r="L11" s="4">
        <v>13</v>
      </c>
      <c r="M11" s="7">
        <v>129</v>
      </c>
      <c r="N11" s="7">
        <f t="shared" si="0"/>
        <v>774</v>
      </c>
      <c r="O11" s="4">
        <v>147.80000000000001</v>
      </c>
      <c r="P11" s="7">
        <f t="shared" si="1"/>
        <v>114397.20000000001</v>
      </c>
      <c r="Q11" s="4">
        <f>N11/F11/(H11-I11-L11/2)</f>
        <v>5.3937282229965158E-3</v>
      </c>
      <c r="R11" s="7">
        <v>141</v>
      </c>
      <c r="S11" s="7">
        <f>R11/F11/H11*1000</f>
        <v>0.70499999999999985</v>
      </c>
      <c r="T11" s="5" t="s">
        <v>61</v>
      </c>
    </row>
    <row r="12" spans="1:20" s="7" customFormat="1" x14ac:dyDescent="0.25">
      <c r="A12" s="8"/>
      <c r="B12" s="7" t="s">
        <v>0</v>
      </c>
      <c r="C12" s="7">
        <v>3500</v>
      </c>
      <c r="D12" s="7">
        <v>850</v>
      </c>
      <c r="E12" s="7">
        <f>D12/(H12-I12-L12/2)</f>
        <v>5.9233449477351918</v>
      </c>
      <c r="F12" s="7">
        <v>1000</v>
      </c>
      <c r="G12" s="4">
        <v>52</v>
      </c>
      <c r="H12" s="7">
        <v>200</v>
      </c>
      <c r="I12" s="7">
        <v>50</v>
      </c>
      <c r="J12" s="4" t="s">
        <v>4</v>
      </c>
      <c r="K12" s="4">
        <v>7</v>
      </c>
      <c r="L12" s="4">
        <v>13</v>
      </c>
      <c r="M12" s="7">
        <v>129</v>
      </c>
      <c r="N12" s="7">
        <f t="shared" si="0"/>
        <v>903</v>
      </c>
      <c r="O12" s="4">
        <v>144</v>
      </c>
      <c r="P12" s="7">
        <f t="shared" si="1"/>
        <v>130032</v>
      </c>
      <c r="Q12" s="4">
        <f>N12/F12/(H12-I12-L12/2)</f>
        <v>6.2926829268292687E-3</v>
      </c>
      <c r="R12" s="7">
        <v>159</v>
      </c>
      <c r="S12" s="7">
        <f>R12/F12/H12*1000</f>
        <v>0.79500000000000004</v>
      </c>
      <c r="T12" s="5" t="s">
        <v>61</v>
      </c>
    </row>
    <row r="13" spans="1:20" s="7" customFormat="1" x14ac:dyDescent="0.25">
      <c r="A13" s="8"/>
      <c r="B13" s="7" t="s">
        <v>0</v>
      </c>
      <c r="C13" s="7">
        <v>3500</v>
      </c>
      <c r="D13" s="7">
        <v>850</v>
      </c>
      <c r="E13" s="7">
        <f>D13/(H13-I13-L13/2)</f>
        <v>5.9233449477351918</v>
      </c>
      <c r="F13" s="7">
        <v>1000</v>
      </c>
      <c r="G13" s="4">
        <v>76</v>
      </c>
      <c r="H13" s="7">
        <v>200</v>
      </c>
      <c r="I13" s="7">
        <v>50</v>
      </c>
      <c r="J13" s="4" t="s">
        <v>4</v>
      </c>
      <c r="K13" s="4">
        <v>7</v>
      </c>
      <c r="L13" s="4">
        <v>13</v>
      </c>
      <c r="M13" s="7">
        <v>129</v>
      </c>
      <c r="N13" s="7">
        <f t="shared" si="0"/>
        <v>903</v>
      </c>
      <c r="O13" s="4">
        <v>144</v>
      </c>
      <c r="P13" s="7">
        <f t="shared" si="1"/>
        <v>130032</v>
      </c>
      <c r="Q13" s="4">
        <f>N13/F13/(H13-I13-L13/2)</f>
        <v>6.2926829268292687E-3</v>
      </c>
      <c r="R13" s="7">
        <v>168</v>
      </c>
      <c r="S13" s="7">
        <f>R13/F13/H13*1000</f>
        <v>0.84000000000000008</v>
      </c>
      <c r="T13" s="5" t="s">
        <v>61</v>
      </c>
    </row>
    <row r="14" spans="1:20" s="7" customFormat="1" x14ac:dyDescent="0.25">
      <c r="A14" s="8"/>
      <c r="B14" s="7" t="s">
        <v>0</v>
      </c>
      <c r="C14" s="7">
        <v>3500</v>
      </c>
      <c r="D14" s="7">
        <v>850</v>
      </c>
      <c r="E14" s="7">
        <f>D14/(H14-I14-L14/2)</f>
        <v>5.9233449477351918</v>
      </c>
      <c r="F14" s="7">
        <v>1000</v>
      </c>
      <c r="G14" s="4">
        <v>86.2</v>
      </c>
      <c r="H14" s="7">
        <v>200</v>
      </c>
      <c r="I14" s="7">
        <v>50</v>
      </c>
      <c r="J14" s="4" t="s">
        <v>4</v>
      </c>
      <c r="K14" s="4">
        <v>7</v>
      </c>
      <c r="L14" s="4">
        <v>13</v>
      </c>
      <c r="M14" s="7">
        <v>129</v>
      </c>
      <c r="N14" s="7">
        <f t="shared" si="0"/>
        <v>903</v>
      </c>
      <c r="O14" s="4">
        <v>144</v>
      </c>
      <c r="P14" s="7">
        <f t="shared" si="1"/>
        <v>130032</v>
      </c>
      <c r="Q14" s="4">
        <f>N14/F14/(H14-I14-L14/2)</f>
        <v>6.2926829268292687E-3</v>
      </c>
      <c r="R14" s="7">
        <v>137</v>
      </c>
      <c r="S14" s="7">
        <f>R14/F14/H14*1000</f>
        <v>0.68500000000000005</v>
      </c>
      <c r="T14" s="5" t="s">
        <v>61</v>
      </c>
    </row>
    <row r="15" spans="1:20" s="7" customFormat="1" x14ac:dyDescent="0.25">
      <c r="A15" s="8"/>
      <c r="B15" s="7" t="s">
        <v>0</v>
      </c>
      <c r="C15" s="7">
        <v>3500</v>
      </c>
      <c r="D15" s="7">
        <v>850</v>
      </c>
      <c r="E15" s="7">
        <f>D15/(H15-I15-L15/2)</f>
        <v>5.9649122807017543</v>
      </c>
      <c r="F15" s="7">
        <v>1000</v>
      </c>
      <c r="G15" s="4">
        <v>41.3</v>
      </c>
      <c r="H15" s="7">
        <v>200</v>
      </c>
      <c r="I15" s="7">
        <v>50</v>
      </c>
      <c r="J15" s="4" t="s">
        <v>4</v>
      </c>
      <c r="K15" s="4">
        <v>8</v>
      </c>
      <c r="L15" s="4">
        <v>15</v>
      </c>
      <c r="M15" s="7">
        <v>199</v>
      </c>
      <c r="N15" s="7">
        <f t="shared" si="0"/>
        <v>1592</v>
      </c>
      <c r="O15" s="4">
        <v>141</v>
      </c>
      <c r="P15" s="7">
        <f t="shared" si="1"/>
        <v>224472</v>
      </c>
      <c r="Q15" s="4">
        <f>N15/F15/(H15-I15-L15/2)</f>
        <v>1.1171929824561404E-2</v>
      </c>
      <c r="R15" s="7">
        <v>192</v>
      </c>
      <c r="S15" s="7">
        <f>R15/F15/H15*1000</f>
        <v>0.96000000000000008</v>
      </c>
      <c r="T15" s="5" t="s">
        <v>61</v>
      </c>
    </row>
    <row r="16" spans="1:20" s="7" customFormat="1" x14ac:dyDescent="0.25">
      <c r="A16" s="8"/>
      <c r="B16" s="7" t="s">
        <v>0</v>
      </c>
      <c r="C16" s="7">
        <v>3500</v>
      </c>
      <c r="D16" s="7">
        <v>850</v>
      </c>
      <c r="E16" s="7">
        <f>D16/(H16-I16-L16/2)</f>
        <v>6.0714285714285712</v>
      </c>
      <c r="F16" s="7">
        <v>1000</v>
      </c>
      <c r="G16" s="4">
        <v>48.6</v>
      </c>
      <c r="H16" s="7">
        <v>200</v>
      </c>
      <c r="I16" s="7">
        <v>50</v>
      </c>
      <c r="J16" s="4" t="s">
        <v>3</v>
      </c>
      <c r="K16" s="4">
        <v>12</v>
      </c>
      <c r="L16" s="4">
        <v>20</v>
      </c>
      <c r="M16" s="7">
        <v>284</v>
      </c>
      <c r="N16" s="7">
        <f t="shared" si="0"/>
        <v>3408</v>
      </c>
      <c r="O16" s="4">
        <v>67.8</v>
      </c>
      <c r="P16" s="7">
        <f t="shared" si="1"/>
        <v>231062.39999999999</v>
      </c>
      <c r="Q16" s="4">
        <f>N16/F16/(H16-I16-L16/2)</f>
        <v>2.4342857142857142E-2</v>
      </c>
      <c r="R16" s="7">
        <v>170</v>
      </c>
      <c r="S16" s="7">
        <f>R16/F16/H16*1000</f>
        <v>0.85000000000000009</v>
      </c>
      <c r="T16" s="5" t="s">
        <v>61</v>
      </c>
    </row>
    <row r="17" spans="1:20" s="7" customFormat="1" x14ac:dyDescent="0.25">
      <c r="A17" s="8"/>
      <c r="B17" s="7" t="s">
        <v>0</v>
      </c>
      <c r="C17" s="7">
        <v>3500</v>
      </c>
      <c r="D17" s="7">
        <v>850</v>
      </c>
      <c r="E17" s="7">
        <f>D17/(H17-I17-L17/2)</f>
        <v>6.1818181818181817</v>
      </c>
      <c r="F17" s="7">
        <v>1000</v>
      </c>
      <c r="G17" s="4">
        <v>50.3</v>
      </c>
      <c r="H17" s="7">
        <v>200</v>
      </c>
      <c r="I17" s="7">
        <v>50</v>
      </c>
      <c r="J17" s="4" t="s">
        <v>3</v>
      </c>
      <c r="K17" s="4">
        <v>7</v>
      </c>
      <c r="L17" s="4">
        <v>25</v>
      </c>
      <c r="M17" s="7">
        <v>510</v>
      </c>
      <c r="N17" s="7">
        <f t="shared" si="0"/>
        <v>3570</v>
      </c>
      <c r="O17" s="4">
        <v>65.400000000000006</v>
      </c>
      <c r="P17" s="7">
        <f t="shared" si="1"/>
        <v>233478.00000000003</v>
      </c>
      <c r="Q17" s="4">
        <f>N17/F17/(H17-I17-L17/2)</f>
        <v>2.5963636363636362E-2</v>
      </c>
      <c r="R17" s="7">
        <v>213</v>
      </c>
      <c r="S17" s="7">
        <f>R17/F17/H17*1000</f>
        <v>1.0649999999999999</v>
      </c>
      <c r="T17" s="5" t="s">
        <v>62</v>
      </c>
    </row>
    <row r="18" spans="1:20" s="7" customFormat="1" x14ac:dyDescent="0.25">
      <c r="A18" s="8" t="s">
        <v>5</v>
      </c>
      <c r="B18" s="7" t="s">
        <v>0</v>
      </c>
      <c r="C18" s="7">
        <v>3500</v>
      </c>
      <c r="D18" s="7">
        <v>850</v>
      </c>
      <c r="E18" s="7">
        <f>D18/(H18-I18-L18/2)</f>
        <v>5.9233449477351918</v>
      </c>
      <c r="F18" s="7">
        <v>1000</v>
      </c>
      <c r="G18" s="4">
        <v>49.7</v>
      </c>
      <c r="H18" s="7">
        <v>200</v>
      </c>
      <c r="I18" s="7">
        <v>50</v>
      </c>
      <c r="J18" s="4" t="s">
        <v>4</v>
      </c>
      <c r="K18" s="4">
        <v>5</v>
      </c>
      <c r="L18" s="4">
        <v>13</v>
      </c>
      <c r="M18" s="7">
        <v>129</v>
      </c>
      <c r="N18" s="7">
        <f t="shared" ref="N18" si="2">K18*M18</f>
        <v>645</v>
      </c>
      <c r="O18" s="4">
        <v>139.19999999999999</v>
      </c>
      <c r="P18" s="7">
        <f t="shared" ref="P18" si="3">O18*N18</f>
        <v>89783.999999999985</v>
      </c>
      <c r="Q18" s="4">
        <f>N18/F18/(H18-I18-L18/2)</f>
        <v>4.4947735191637628E-3</v>
      </c>
      <c r="R18" s="7">
        <v>119</v>
      </c>
      <c r="S18" s="7">
        <f>R18/F18/H18*1000</f>
        <v>0.59499999999999997</v>
      </c>
      <c r="T18" s="5" t="s">
        <v>61</v>
      </c>
    </row>
    <row r="19" spans="1:20" s="7" customFormat="1" x14ac:dyDescent="0.25">
      <c r="A19" s="8"/>
      <c r="B19" s="7" t="s">
        <v>1</v>
      </c>
      <c r="C19" s="7">
        <v>3500</v>
      </c>
      <c r="D19" s="7">
        <v>850</v>
      </c>
      <c r="E19" s="7">
        <f>D19/(H19-I19-L19/2)</f>
        <v>5.9233449477351918</v>
      </c>
      <c r="F19" s="7">
        <v>1000</v>
      </c>
      <c r="G19" s="4">
        <v>49.4</v>
      </c>
      <c r="H19" s="7">
        <v>200</v>
      </c>
      <c r="I19" s="7">
        <v>50</v>
      </c>
      <c r="J19" s="4" t="s">
        <v>4</v>
      </c>
      <c r="K19" s="4">
        <v>6</v>
      </c>
      <c r="L19" s="4">
        <v>13</v>
      </c>
      <c r="M19" s="7">
        <v>129</v>
      </c>
      <c r="N19" s="7">
        <f t="shared" ref="N19:N26" si="4">K19*M19</f>
        <v>774</v>
      </c>
      <c r="O19" s="4">
        <v>147.80000000000001</v>
      </c>
      <c r="P19" s="7">
        <f t="shared" ref="P19:P26" si="5">O19*N19</f>
        <v>114397.20000000001</v>
      </c>
      <c r="Q19" s="4">
        <f>N19/F19/(H19-I19-L19/2)</f>
        <v>5.3937282229965158E-3</v>
      </c>
      <c r="R19" s="7">
        <v>141</v>
      </c>
      <c r="S19" s="7">
        <f>R19/F19/H19*1000</f>
        <v>0.70499999999999985</v>
      </c>
      <c r="T19" s="5" t="s">
        <v>61</v>
      </c>
    </row>
    <row r="20" spans="1:20" s="7" customFormat="1" x14ac:dyDescent="0.25">
      <c r="A20" s="8"/>
      <c r="B20" s="7" t="s">
        <v>0</v>
      </c>
      <c r="C20" s="7">
        <v>3500</v>
      </c>
      <c r="D20" s="7">
        <v>850</v>
      </c>
      <c r="E20" s="7">
        <f>D20/(H20-I20-L20/2)</f>
        <v>5.9233449477351918</v>
      </c>
      <c r="F20" s="7">
        <v>1000</v>
      </c>
      <c r="G20" s="4">
        <v>52</v>
      </c>
      <c r="H20" s="7">
        <v>200</v>
      </c>
      <c r="I20" s="7">
        <v>50</v>
      </c>
      <c r="J20" s="4" t="s">
        <v>4</v>
      </c>
      <c r="K20" s="4">
        <v>7</v>
      </c>
      <c r="L20" s="4">
        <v>13</v>
      </c>
      <c r="M20" s="7">
        <v>129</v>
      </c>
      <c r="N20" s="7">
        <f t="shared" si="4"/>
        <v>903</v>
      </c>
      <c r="O20" s="4">
        <v>144</v>
      </c>
      <c r="P20" s="7">
        <f t="shared" si="5"/>
        <v>130032</v>
      </c>
      <c r="Q20" s="4">
        <f>N20/F20/(H20-I20-L20/2)</f>
        <v>6.2926829268292687E-3</v>
      </c>
      <c r="R20" s="7">
        <v>159</v>
      </c>
      <c r="S20" s="7">
        <f>R20/F20/H20*1000</f>
        <v>0.79500000000000004</v>
      </c>
      <c r="T20" s="5" t="s">
        <v>61</v>
      </c>
    </row>
    <row r="21" spans="1:20" s="7" customFormat="1" x14ac:dyDescent="0.2">
      <c r="A21" s="8"/>
      <c r="B21" s="7" t="s">
        <v>0</v>
      </c>
      <c r="C21" s="7">
        <v>3500</v>
      </c>
      <c r="D21" s="7">
        <v>850</v>
      </c>
      <c r="E21" s="7">
        <f>D21/(H21-I21-L21/2)</f>
        <v>5.9233449477351918</v>
      </c>
      <c r="F21" s="7">
        <v>1000</v>
      </c>
      <c r="G21" s="4">
        <v>44.8</v>
      </c>
      <c r="H21" s="7">
        <v>200</v>
      </c>
      <c r="I21" s="7">
        <v>50</v>
      </c>
      <c r="J21" s="4" t="s">
        <v>4</v>
      </c>
      <c r="K21" s="4">
        <v>8</v>
      </c>
      <c r="L21" s="4">
        <v>13</v>
      </c>
      <c r="M21" s="7">
        <v>129</v>
      </c>
      <c r="N21" s="7">
        <f t="shared" si="4"/>
        <v>1032</v>
      </c>
      <c r="O21" s="4">
        <v>144</v>
      </c>
      <c r="P21" s="7">
        <f t="shared" si="5"/>
        <v>148608</v>
      </c>
      <c r="Q21" s="4">
        <f>N21/F21/(H21-I21-L21/2)</f>
        <v>7.1916376306620207E-3</v>
      </c>
      <c r="R21" s="7">
        <v>157</v>
      </c>
      <c r="S21" s="7">
        <f>R21/F21/H21*1000</f>
        <v>0.78500000000000003</v>
      </c>
    </row>
    <row r="22" spans="1:20" s="7" customFormat="1" x14ac:dyDescent="0.2">
      <c r="A22" s="8"/>
      <c r="B22" s="7" t="s">
        <v>0</v>
      </c>
      <c r="C22" s="7">
        <v>3500</v>
      </c>
      <c r="D22" s="7">
        <v>850</v>
      </c>
      <c r="E22" s="7">
        <f>D22/(H22-I22-L22/2)</f>
        <v>5.9649122807017543</v>
      </c>
      <c r="F22" s="7">
        <v>1000</v>
      </c>
      <c r="G22" s="4">
        <v>45.6</v>
      </c>
      <c r="H22" s="7">
        <v>200</v>
      </c>
      <c r="I22" s="7">
        <v>50</v>
      </c>
      <c r="J22" s="4" t="s">
        <v>4</v>
      </c>
      <c r="K22" s="4">
        <v>6</v>
      </c>
      <c r="L22" s="4">
        <v>15</v>
      </c>
      <c r="M22" s="7">
        <v>199</v>
      </c>
      <c r="N22" s="7">
        <f t="shared" si="4"/>
        <v>1194</v>
      </c>
      <c r="O22" s="4">
        <v>140</v>
      </c>
      <c r="P22" s="7">
        <f t="shared" si="5"/>
        <v>167160</v>
      </c>
      <c r="Q22" s="4">
        <f>N22/F22/(H22-I22-L22/2)</f>
        <v>8.3789473684210518E-3</v>
      </c>
      <c r="R22" s="7">
        <v>173</v>
      </c>
      <c r="S22" s="7">
        <f>R22/F22/H22*1000</f>
        <v>0.86499999999999988</v>
      </c>
    </row>
    <row r="23" spans="1:20" s="7" customFormat="1" x14ac:dyDescent="0.2">
      <c r="A23" s="8"/>
      <c r="B23" s="7" t="s">
        <v>0</v>
      </c>
      <c r="C23" s="7">
        <v>3500</v>
      </c>
      <c r="D23" s="7">
        <v>850</v>
      </c>
      <c r="E23" s="7">
        <f>D23/(H23-I23-L23/2)</f>
        <v>5.9649122807017543</v>
      </c>
      <c r="F23" s="7">
        <v>1000</v>
      </c>
      <c r="G23" s="4">
        <v>48.6</v>
      </c>
      <c r="H23" s="7">
        <v>200</v>
      </c>
      <c r="I23" s="7">
        <v>50</v>
      </c>
      <c r="J23" s="4" t="s">
        <v>4</v>
      </c>
      <c r="K23" s="4">
        <v>7</v>
      </c>
      <c r="L23" s="4">
        <v>15</v>
      </c>
      <c r="M23" s="7">
        <v>199</v>
      </c>
      <c r="N23" s="7">
        <f t="shared" si="4"/>
        <v>1393</v>
      </c>
      <c r="O23" s="4">
        <v>140</v>
      </c>
      <c r="P23" s="7">
        <f t="shared" si="5"/>
        <v>195020</v>
      </c>
      <c r="Q23" s="4">
        <f>N23/F23/(H23-I23-L23/2)</f>
        <v>9.7754385964912288E-3</v>
      </c>
      <c r="R23" s="7">
        <v>186</v>
      </c>
      <c r="S23" s="7">
        <f>R23/F23/H23*1000</f>
        <v>0.92999999999999994</v>
      </c>
    </row>
    <row r="24" spans="1:20" s="7" customFormat="1" x14ac:dyDescent="0.2">
      <c r="A24" s="8"/>
      <c r="B24" s="7" t="s">
        <v>0</v>
      </c>
      <c r="C24" s="7">
        <v>3500</v>
      </c>
      <c r="D24" s="7">
        <v>850</v>
      </c>
      <c r="E24" s="7">
        <f>D24/(H24-I24-L24/2)</f>
        <v>5.9649122807017543</v>
      </c>
      <c r="F24" s="7">
        <v>1000</v>
      </c>
      <c r="G24" s="4">
        <v>41.3</v>
      </c>
      <c r="H24" s="7">
        <v>200</v>
      </c>
      <c r="I24" s="7">
        <v>50</v>
      </c>
      <c r="J24" s="4" t="s">
        <v>4</v>
      </c>
      <c r="K24" s="4">
        <v>8</v>
      </c>
      <c r="L24" s="4">
        <v>15</v>
      </c>
      <c r="M24" s="7">
        <v>199</v>
      </c>
      <c r="N24" s="7">
        <f t="shared" si="4"/>
        <v>1592</v>
      </c>
      <c r="O24" s="4">
        <v>140</v>
      </c>
      <c r="P24" s="7">
        <f t="shared" si="5"/>
        <v>222880</v>
      </c>
      <c r="Q24" s="4">
        <f>N24/F24/(H24-I24-L24/2)</f>
        <v>1.1171929824561404E-2</v>
      </c>
      <c r="R24" s="7">
        <v>192</v>
      </c>
      <c r="S24" s="7">
        <f>R24/F24/H24*1000</f>
        <v>0.96000000000000008</v>
      </c>
    </row>
    <row r="25" spans="1:20" s="7" customFormat="1" x14ac:dyDescent="0.25">
      <c r="A25" s="8"/>
      <c r="B25" s="7" t="s">
        <v>0</v>
      </c>
      <c r="C25" s="7">
        <v>3500</v>
      </c>
      <c r="D25" s="7">
        <v>850</v>
      </c>
      <c r="E25" s="7">
        <f>D25/(H25-I25-L25/2)</f>
        <v>5.9233449477351918</v>
      </c>
      <c r="F25" s="7">
        <v>1000</v>
      </c>
      <c r="G25" s="4">
        <v>76</v>
      </c>
      <c r="H25" s="7">
        <v>200</v>
      </c>
      <c r="I25" s="7">
        <v>50</v>
      </c>
      <c r="J25" s="4" t="s">
        <v>4</v>
      </c>
      <c r="K25" s="4">
        <v>7</v>
      </c>
      <c r="L25" s="4">
        <v>13</v>
      </c>
      <c r="M25" s="7">
        <v>129</v>
      </c>
      <c r="N25" s="7">
        <f t="shared" si="4"/>
        <v>903</v>
      </c>
      <c r="O25" s="4">
        <v>144</v>
      </c>
      <c r="P25" s="7">
        <f t="shared" si="5"/>
        <v>130032</v>
      </c>
      <c r="Q25" s="4">
        <f>N25/F25/(H25-I25-L25/2)</f>
        <v>6.2926829268292687E-3</v>
      </c>
      <c r="R25" s="7">
        <v>168</v>
      </c>
      <c r="S25" s="7">
        <f>R25/F25/H25*1000</f>
        <v>0.84000000000000008</v>
      </c>
      <c r="T25" s="5" t="s">
        <v>61</v>
      </c>
    </row>
    <row r="26" spans="1:20" s="7" customFormat="1" x14ac:dyDescent="0.25">
      <c r="A26" s="8"/>
      <c r="B26" s="7" t="s">
        <v>0</v>
      </c>
      <c r="C26" s="7">
        <v>3500</v>
      </c>
      <c r="D26" s="7">
        <v>850</v>
      </c>
      <c r="E26" s="7">
        <f>D26/(H26-I26-L26/2)</f>
        <v>5.9233449477351918</v>
      </c>
      <c r="F26" s="7">
        <v>1000</v>
      </c>
      <c r="G26" s="4">
        <v>86.2</v>
      </c>
      <c r="H26" s="7">
        <v>200</v>
      </c>
      <c r="I26" s="7">
        <v>50</v>
      </c>
      <c r="J26" s="4" t="s">
        <v>4</v>
      </c>
      <c r="K26" s="4">
        <v>7</v>
      </c>
      <c r="L26" s="4">
        <v>13</v>
      </c>
      <c r="M26" s="7">
        <v>129</v>
      </c>
      <c r="N26" s="7">
        <f t="shared" si="4"/>
        <v>903</v>
      </c>
      <c r="O26" s="4">
        <v>144</v>
      </c>
      <c r="P26" s="7">
        <f t="shared" si="5"/>
        <v>130032</v>
      </c>
      <c r="Q26" s="4">
        <f>N26/F26/(H26-I26-L26/2)</f>
        <v>6.2926829268292687E-3</v>
      </c>
      <c r="R26" s="7">
        <v>137</v>
      </c>
      <c r="S26" s="7">
        <f>R26/F26/H26*1000</f>
        <v>0.68500000000000005</v>
      </c>
      <c r="T26" s="5" t="s">
        <v>61</v>
      </c>
    </row>
    <row r="27" spans="1:20" s="7" customFormat="1" x14ac:dyDescent="0.25">
      <c r="A27" s="8" t="s">
        <v>14</v>
      </c>
      <c r="B27" s="7" t="s">
        <v>7</v>
      </c>
      <c r="C27" s="7">
        <v>2500</v>
      </c>
      <c r="D27" s="7">
        <v>1000</v>
      </c>
      <c r="E27" s="7">
        <f>D27/(H27-I27-L27/2)</f>
        <v>6.0606060606060606</v>
      </c>
      <c r="F27" s="7">
        <v>1000</v>
      </c>
      <c r="G27" s="4">
        <v>40</v>
      </c>
      <c r="H27" s="7">
        <v>200</v>
      </c>
      <c r="I27" s="7">
        <v>30</v>
      </c>
      <c r="J27" s="4" t="s">
        <v>4</v>
      </c>
      <c r="K27" s="4">
        <v>9</v>
      </c>
      <c r="L27" s="4">
        <v>10</v>
      </c>
      <c r="M27" s="7">
        <v>71</v>
      </c>
      <c r="N27" s="7">
        <f>K27*M27</f>
        <v>639</v>
      </c>
      <c r="O27" s="4">
        <v>114</v>
      </c>
      <c r="P27" s="7">
        <f>O27*N27</f>
        <v>72846</v>
      </c>
      <c r="Q27" s="4">
        <f>N27/F27/(H27-I27-L27/2)</f>
        <v>3.8727272727272729E-3</v>
      </c>
      <c r="R27" s="7">
        <v>140</v>
      </c>
      <c r="S27" s="7">
        <f>R27/F27/H27*1000</f>
        <v>0.70000000000000007</v>
      </c>
      <c r="T27" s="5" t="s">
        <v>60</v>
      </c>
    </row>
    <row r="28" spans="1:20" s="7" customFormat="1" x14ac:dyDescent="0.25">
      <c r="A28" s="8"/>
      <c r="B28" s="7" t="s">
        <v>7</v>
      </c>
      <c r="C28" s="7">
        <v>2500</v>
      </c>
      <c r="D28" s="7">
        <v>1000</v>
      </c>
      <c r="E28" s="7">
        <f>D28/(H28-I28-L28/2)</f>
        <v>6.0606060606060606</v>
      </c>
      <c r="F28" s="7">
        <v>1000</v>
      </c>
      <c r="G28" s="4">
        <v>40</v>
      </c>
      <c r="H28" s="7">
        <v>200</v>
      </c>
      <c r="I28" s="7">
        <v>30</v>
      </c>
      <c r="J28" s="4" t="s">
        <v>4</v>
      </c>
      <c r="K28" s="4">
        <v>18</v>
      </c>
      <c r="L28" s="4">
        <v>10</v>
      </c>
      <c r="M28" s="7">
        <v>71</v>
      </c>
      <c r="N28" s="7">
        <f t="shared" ref="N28:N34" si="6">K28*M28</f>
        <v>1278</v>
      </c>
      <c r="O28" s="4">
        <v>114</v>
      </c>
      <c r="P28" s="7">
        <f t="shared" ref="P28:P85" si="7">O28*N28</f>
        <v>145692</v>
      </c>
      <c r="Q28" s="4">
        <f>N28/F28/(H28-I28-L28/2)</f>
        <v>7.7454545454545458E-3</v>
      </c>
      <c r="R28" s="7">
        <v>167</v>
      </c>
      <c r="S28" s="7">
        <f>R28/F28/H28*1000</f>
        <v>0.83500000000000008</v>
      </c>
      <c r="T28" s="5" t="s">
        <v>61</v>
      </c>
    </row>
    <row r="29" spans="1:20" s="7" customFormat="1" x14ac:dyDescent="0.25">
      <c r="A29" s="8"/>
      <c r="B29" s="7" t="s">
        <v>6</v>
      </c>
      <c r="C29" s="7">
        <v>2500</v>
      </c>
      <c r="D29" s="7">
        <v>1000</v>
      </c>
      <c r="E29" s="7">
        <f>D29/(H29-I29-L29/2)</f>
        <v>6.0606060606060606</v>
      </c>
      <c r="F29" s="7">
        <v>1000</v>
      </c>
      <c r="G29" s="4">
        <v>40</v>
      </c>
      <c r="H29" s="7">
        <v>200</v>
      </c>
      <c r="I29" s="7">
        <v>30</v>
      </c>
      <c r="J29" s="4" t="s">
        <v>4</v>
      </c>
      <c r="K29" s="4">
        <v>27</v>
      </c>
      <c r="L29" s="4">
        <v>10</v>
      </c>
      <c r="M29" s="7">
        <v>71</v>
      </c>
      <c r="N29" s="7">
        <f t="shared" si="6"/>
        <v>1917</v>
      </c>
      <c r="O29" s="4">
        <v>114</v>
      </c>
      <c r="P29" s="7">
        <f t="shared" si="7"/>
        <v>218538</v>
      </c>
      <c r="Q29" s="4">
        <f>N29/F29/(H29-I29-L29/2)</f>
        <v>1.1618181818181819E-2</v>
      </c>
      <c r="R29" s="7">
        <v>190</v>
      </c>
      <c r="S29" s="7">
        <f>R29/F29/H29*1000</f>
        <v>0.95</v>
      </c>
      <c r="T29" s="5" t="s">
        <v>61</v>
      </c>
    </row>
    <row r="30" spans="1:20" s="7" customFormat="1" x14ac:dyDescent="0.25">
      <c r="A30" s="8"/>
      <c r="B30" s="7" t="s">
        <v>6</v>
      </c>
      <c r="C30" s="7">
        <v>2500</v>
      </c>
      <c r="D30" s="7">
        <v>1000</v>
      </c>
      <c r="E30" s="7">
        <f>D30/(H30-I30-L30/2)</f>
        <v>6.1728395061728394</v>
      </c>
      <c r="F30" s="7">
        <v>1000</v>
      </c>
      <c r="G30" s="4">
        <v>40</v>
      </c>
      <c r="H30" s="7">
        <v>200</v>
      </c>
      <c r="I30" s="7">
        <v>30</v>
      </c>
      <c r="J30" s="4" t="s">
        <v>3</v>
      </c>
      <c r="K30" s="4">
        <v>7</v>
      </c>
      <c r="L30" s="4">
        <v>16</v>
      </c>
      <c r="M30" s="7">
        <v>198</v>
      </c>
      <c r="N30" s="7">
        <f t="shared" si="6"/>
        <v>1386</v>
      </c>
      <c r="O30" s="4">
        <v>40</v>
      </c>
      <c r="P30" s="7">
        <f t="shared" si="7"/>
        <v>55440</v>
      </c>
      <c r="Q30" s="4">
        <f>N30/F30/(H30-I30-L30/2)</f>
        <v>8.5555555555555541E-3</v>
      </c>
      <c r="R30" s="7">
        <v>113</v>
      </c>
      <c r="S30" s="7">
        <f>R30/F30/H30*1000</f>
        <v>0.56499999999999995</v>
      </c>
      <c r="T30" s="5" t="s">
        <v>60</v>
      </c>
    </row>
    <row r="31" spans="1:20" s="7" customFormat="1" x14ac:dyDescent="0.25">
      <c r="A31" s="8"/>
      <c r="B31" s="7" t="s">
        <v>6</v>
      </c>
      <c r="C31" s="7">
        <v>2500</v>
      </c>
      <c r="D31" s="7">
        <v>1000</v>
      </c>
      <c r="E31" s="7">
        <f>D31/(H31-I31-L31/2)</f>
        <v>6.2893081761006293</v>
      </c>
      <c r="F31" s="7">
        <v>1000</v>
      </c>
      <c r="G31" s="4">
        <v>40</v>
      </c>
      <c r="H31" s="7">
        <v>200</v>
      </c>
      <c r="I31" s="7">
        <v>30</v>
      </c>
      <c r="J31" s="4" t="s">
        <v>3</v>
      </c>
      <c r="K31" s="4">
        <v>7</v>
      </c>
      <c r="L31" s="4">
        <v>22</v>
      </c>
      <c r="M31" s="7">
        <v>387</v>
      </c>
      <c r="N31" s="7">
        <f t="shared" si="6"/>
        <v>2709</v>
      </c>
      <c r="O31" s="4">
        <v>40</v>
      </c>
      <c r="P31" s="7">
        <f t="shared" si="7"/>
        <v>108360</v>
      </c>
      <c r="Q31" s="4">
        <f>N31/F31/(H31-I31-L31/2)</f>
        <v>1.7037735849056605E-2</v>
      </c>
      <c r="R31" s="7">
        <v>142</v>
      </c>
      <c r="S31" s="7">
        <f>R31/F31/H31*1000</f>
        <v>0.71</v>
      </c>
      <c r="T31" s="5" t="s">
        <v>61</v>
      </c>
    </row>
    <row r="32" spans="1:20" s="7" customFormat="1" x14ac:dyDescent="0.25">
      <c r="A32" s="8"/>
      <c r="B32" s="7" t="s">
        <v>6</v>
      </c>
      <c r="C32" s="7">
        <v>2500</v>
      </c>
      <c r="D32" s="7">
        <v>1000</v>
      </c>
      <c r="E32" s="7">
        <f>D32/(H32-I32-L32/2)</f>
        <v>6.1728395061728394</v>
      </c>
      <c r="F32" s="7">
        <v>1000</v>
      </c>
      <c r="G32" s="4">
        <v>40</v>
      </c>
      <c r="H32" s="7">
        <v>200</v>
      </c>
      <c r="I32" s="7">
        <v>30</v>
      </c>
      <c r="J32" s="4" t="s">
        <v>3</v>
      </c>
      <c r="K32" s="4">
        <v>14</v>
      </c>
      <c r="L32" s="4">
        <v>16</v>
      </c>
      <c r="M32" s="7">
        <v>198</v>
      </c>
      <c r="N32" s="7">
        <f t="shared" si="6"/>
        <v>2772</v>
      </c>
      <c r="O32" s="4">
        <v>40</v>
      </c>
      <c r="P32" s="7">
        <f t="shared" si="7"/>
        <v>110880</v>
      </c>
      <c r="Q32" s="4">
        <f>N32/F32/(H32-I32-L32/2)</f>
        <v>1.7111111111111108E-2</v>
      </c>
      <c r="R32" s="7">
        <v>163</v>
      </c>
      <c r="S32" s="7">
        <f>R32/F32/H32*1000</f>
        <v>0.81500000000000006</v>
      </c>
      <c r="T32" s="5" t="s">
        <v>61</v>
      </c>
    </row>
    <row r="33" spans="1:20" s="7" customFormat="1" x14ac:dyDescent="0.25">
      <c r="A33" s="8"/>
      <c r="B33" s="7" t="s">
        <v>6</v>
      </c>
      <c r="C33" s="7">
        <v>2500</v>
      </c>
      <c r="D33" s="7">
        <v>1000</v>
      </c>
      <c r="E33" s="7">
        <f>D33/(H33-I33-L33/2)</f>
        <v>6.2893081761006293</v>
      </c>
      <c r="F33" s="7">
        <v>1000</v>
      </c>
      <c r="G33" s="4">
        <v>40</v>
      </c>
      <c r="H33" s="7">
        <v>200</v>
      </c>
      <c r="I33" s="7">
        <v>30</v>
      </c>
      <c r="J33" s="4" t="s">
        <v>3</v>
      </c>
      <c r="K33" s="4">
        <v>10</v>
      </c>
      <c r="L33" s="4">
        <v>22</v>
      </c>
      <c r="M33" s="7">
        <v>387</v>
      </c>
      <c r="N33" s="7">
        <f t="shared" si="6"/>
        <v>3870</v>
      </c>
      <c r="O33" s="4">
        <v>40</v>
      </c>
      <c r="P33" s="7">
        <f t="shared" si="7"/>
        <v>154800</v>
      </c>
      <c r="Q33" s="4">
        <f>N33/F33/(H33-I33-L33/2)</f>
        <v>2.4339622641509434E-2</v>
      </c>
      <c r="R33" s="7">
        <v>163</v>
      </c>
      <c r="S33" s="7">
        <f>R33/F33/H33*1000</f>
        <v>0.81500000000000006</v>
      </c>
      <c r="T33" s="5" t="s">
        <v>61</v>
      </c>
    </row>
    <row r="34" spans="1:20" s="7" customFormat="1" x14ac:dyDescent="0.25">
      <c r="A34" s="8"/>
      <c r="B34" s="7" t="s">
        <v>6</v>
      </c>
      <c r="C34" s="7">
        <v>2500</v>
      </c>
      <c r="D34" s="7">
        <v>1000</v>
      </c>
      <c r="E34" s="7">
        <f>D34/(H34-I34-L34/2)</f>
        <v>6.1728395061728394</v>
      </c>
      <c r="F34" s="7">
        <v>1000</v>
      </c>
      <c r="G34" s="4">
        <v>40</v>
      </c>
      <c r="H34" s="7">
        <v>200</v>
      </c>
      <c r="I34" s="7">
        <v>30</v>
      </c>
      <c r="J34" s="4" t="s">
        <v>3</v>
      </c>
      <c r="K34" s="4">
        <v>21</v>
      </c>
      <c r="L34" s="4">
        <v>16</v>
      </c>
      <c r="M34" s="7">
        <v>198</v>
      </c>
      <c r="N34" s="7">
        <f t="shared" si="6"/>
        <v>4158</v>
      </c>
      <c r="O34" s="4">
        <v>40</v>
      </c>
      <c r="P34" s="7">
        <f t="shared" si="7"/>
        <v>166320</v>
      </c>
      <c r="Q34" s="4">
        <f>N34/F34/(H34-I34-L34/2)</f>
        <v>2.5666666666666667E-2</v>
      </c>
      <c r="R34" s="7">
        <v>168</v>
      </c>
      <c r="S34" s="7">
        <f>R34/F34/H34*1000</f>
        <v>0.84000000000000008</v>
      </c>
      <c r="T34" s="5" t="s">
        <v>61</v>
      </c>
    </row>
    <row r="35" spans="1:20" s="7" customFormat="1" x14ac:dyDescent="0.25">
      <c r="A35" s="9" t="s">
        <v>8</v>
      </c>
      <c r="B35" s="7" t="s">
        <v>10</v>
      </c>
      <c r="C35" s="7">
        <v>1800</v>
      </c>
      <c r="D35" s="7">
        <v>600</v>
      </c>
      <c r="E35" s="7">
        <f>D35/(H35-I35-L35/2)</f>
        <v>3.5502958579881656</v>
      </c>
      <c r="F35" s="7">
        <v>400</v>
      </c>
      <c r="G35" s="4">
        <v>42.3</v>
      </c>
      <c r="H35" s="7">
        <v>200</v>
      </c>
      <c r="I35" s="7">
        <v>25</v>
      </c>
      <c r="J35" s="4" t="s">
        <v>12</v>
      </c>
      <c r="K35" s="4">
        <v>4</v>
      </c>
      <c r="L35" s="4">
        <v>12</v>
      </c>
      <c r="M35" s="7">
        <f>3.1415*L35*L35/4</f>
        <v>113.09399999999999</v>
      </c>
      <c r="N35" s="7">
        <f>K35*M35</f>
        <v>452.37599999999998</v>
      </c>
      <c r="O35" s="10">
        <v>48.975999999999999</v>
      </c>
      <c r="P35" s="7">
        <f t="shared" si="7"/>
        <v>22155.566975999998</v>
      </c>
      <c r="Q35" s="4">
        <f>N35/F35/(H35-I35-L35/2)</f>
        <v>6.6919526627218923E-3</v>
      </c>
      <c r="R35" s="7">
        <v>51</v>
      </c>
      <c r="S35" s="7">
        <f>R35/F35/H35*1000</f>
        <v>0.63750000000000007</v>
      </c>
      <c r="T35" s="5" t="s">
        <v>61</v>
      </c>
    </row>
    <row r="36" spans="1:20" s="7" customFormat="1" x14ac:dyDescent="0.25">
      <c r="A36" s="8"/>
      <c r="B36" s="7" t="s">
        <v>10</v>
      </c>
      <c r="C36" s="7">
        <v>1800</v>
      </c>
      <c r="D36" s="7">
        <v>600</v>
      </c>
      <c r="E36" s="7">
        <f>D36/(H36-I36-L36/2)</f>
        <v>3.5502958579881656</v>
      </c>
      <c r="F36" s="7">
        <v>400</v>
      </c>
      <c r="G36" s="4">
        <v>46</v>
      </c>
      <c r="H36" s="7">
        <v>200</v>
      </c>
      <c r="I36" s="7">
        <v>25</v>
      </c>
      <c r="J36" s="4" t="s">
        <v>12</v>
      </c>
      <c r="K36" s="4">
        <v>4</v>
      </c>
      <c r="L36" s="4">
        <v>12</v>
      </c>
      <c r="M36" s="7">
        <f t="shared" ref="M36:M85" si="8">3.1415*L36*L36/4</f>
        <v>113.09399999999999</v>
      </c>
      <c r="N36" s="7">
        <f t="shared" ref="N36:N58" si="9">K36*M36</f>
        <v>452.37599999999998</v>
      </c>
      <c r="O36" s="10">
        <v>48.975999999999999</v>
      </c>
      <c r="P36" s="7">
        <f t="shared" si="7"/>
        <v>22155.566975999998</v>
      </c>
      <c r="Q36" s="4">
        <f>N36/F36/(H36-I36-L36/2)</f>
        <v>6.6919526627218923E-3</v>
      </c>
      <c r="R36" s="7">
        <v>58.4</v>
      </c>
      <c r="S36" s="7">
        <f>R36/F36/H36*1000</f>
        <v>0.73</v>
      </c>
      <c r="T36" s="5" t="s">
        <v>61</v>
      </c>
    </row>
    <row r="37" spans="1:20" s="7" customFormat="1" x14ac:dyDescent="0.25">
      <c r="A37" s="8"/>
      <c r="B37" s="7" t="s">
        <v>9</v>
      </c>
      <c r="C37" s="7">
        <v>1800</v>
      </c>
      <c r="D37" s="7">
        <v>600</v>
      </c>
      <c r="E37" s="7">
        <f>D37/(H37-I37-L37/2)</f>
        <v>3.5502958579881656</v>
      </c>
      <c r="F37" s="7">
        <v>400</v>
      </c>
      <c r="G37" s="4">
        <v>36.700000000000003</v>
      </c>
      <c r="H37" s="7">
        <v>200</v>
      </c>
      <c r="I37" s="7">
        <v>25</v>
      </c>
      <c r="J37" s="4" t="s">
        <v>12</v>
      </c>
      <c r="K37" s="4">
        <v>4</v>
      </c>
      <c r="L37" s="4">
        <v>12</v>
      </c>
      <c r="M37" s="7">
        <f t="shared" si="8"/>
        <v>113.09399999999999</v>
      </c>
      <c r="N37" s="7">
        <f t="shared" si="9"/>
        <v>452.37599999999998</v>
      </c>
      <c r="O37" s="10">
        <v>48.975999999999999</v>
      </c>
      <c r="P37" s="7">
        <f t="shared" si="7"/>
        <v>22155.566975999998</v>
      </c>
      <c r="Q37" s="4">
        <f>N37/F37/(H37-I37-L37/2)</f>
        <v>6.6919526627218923E-3</v>
      </c>
      <c r="R37" s="7">
        <v>53.5</v>
      </c>
      <c r="S37" s="7">
        <f>R37/F37/H37*1000</f>
        <v>0.66875000000000007</v>
      </c>
      <c r="T37" s="5" t="s">
        <v>61</v>
      </c>
    </row>
    <row r="38" spans="1:20" s="7" customFormat="1" x14ac:dyDescent="0.25">
      <c r="A38" s="8"/>
      <c r="B38" s="7" t="s">
        <v>9</v>
      </c>
      <c r="C38" s="7">
        <v>1800</v>
      </c>
      <c r="D38" s="7">
        <v>600</v>
      </c>
      <c r="E38" s="7">
        <f>D38/(H38-I38-L38/2)</f>
        <v>3.5502958579881656</v>
      </c>
      <c r="F38" s="7">
        <v>400</v>
      </c>
      <c r="G38" s="4">
        <v>36.799999999999997</v>
      </c>
      <c r="H38" s="7">
        <v>200</v>
      </c>
      <c r="I38" s="7">
        <v>25</v>
      </c>
      <c r="J38" s="4" t="s">
        <v>12</v>
      </c>
      <c r="K38" s="4">
        <v>4</v>
      </c>
      <c r="L38" s="4">
        <v>12</v>
      </c>
      <c r="M38" s="7">
        <f t="shared" si="8"/>
        <v>113.09399999999999</v>
      </c>
      <c r="N38" s="7">
        <f t="shared" si="9"/>
        <v>452.37599999999998</v>
      </c>
      <c r="O38" s="10">
        <v>48.975999999999999</v>
      </c>
      <c r="P38" s="7">
        <f t="shared" si="7"/>
        <v>22155.566975999998</v>
      </c>
      <c r="Q38" s="4">
        <f>N38/F38/(H38-I38-L38/2)</f>
        <v>6.6919526627218923E-3</v>
      </c>
      <c r="R38" s="7">
        <v>65.05</v>
      </c>
      <c r="S38" s="7">
        <f>R38/F38/H38*1000</f>
        <v>0.81312499999999999</v>
      </c>
      <c r="T38" s="5" t="s">
        <v>61</v>
      </c>
    </row>
    <row r="39" spans="1:20" s="7" customFormat="1" x14ac:dyDescent="0.25">
      <c r="A39" s="8"/>
      <c r="B39" s="7" t="s">
        <v>9</v>
      </c>
      <c r="C39" s="7">
        <v>1800</v>
      </c>
      <c r="D39" s="7">
        <v>600</v>
      </c>
      <c r="E39" s="7">
        <f>D39/(H39-I39-L39/2)</f>
        <v>3.5502958579881656</v>
      </c>
      <c r="F39" s="7">
        <v>400</v>
      </c>
      <c r="G39" s="4">
        <v>42.3</v>
      </c>
      <c r="H39" s="7">
        <v>200</v>
      </c>
      <c r="I39" s="7">
        <v>25</v>
      </c>
      <c r="J39" s="4" t="s">
        <v>12</v>
      </c>
      <c r="K39" s="4">
        <v>2</v>
      </c>
      <c r="L39" s="4">
        <v>12</v>
      </c>
      <c r="M39" s="7">
        <f t="shared" si="8"/>
        <v>113.09399999999999</v>
      </c>
      <c r="N39" s="7">
        <f t="shared" si="9"/>
        <v>226.18799999999999</v>
      </c>
      <c r="O39" s="10">
        <v>48.975999999999999</v>
      </c>
      <c r="P39" s="7">
        <f t="shared" si="7"/>
        <v>11077.783487999999</v>
      </c>
      <c r="Q39" s="4">
        <f>N39/F39/(H39-I39-L39/2)</f>
        <v>3.3459763313609461E-3</v>
      </c>
      <c r="R39" s="7">
        <v>42.15</v>
      </c>
      <c r="S39" s="7">
        <f>R39/F39/H39*1000</f>
        <v>0.52687499999999998</v>
      </c>
      <c r="T39" s="5" t="s">
        <v>61</v>
      </c>
    </row>
    <row r="40" spans="1:20" s="7" customFormat="1" x14ac:dyDescent="0.25">
      <c r="A40" s="8"/>
      <c r="B40" s="7" t="s">
        <v>9</v>
      </c>
      <c r="C40" s="7">
        <v>1800</v>
      </c>
      <c r="D40" s="7">
        <v>600</v>
      </c>
      <c r="E40" s="7">
        <f>D40/(H40-I40-L40/2)</f>
        <v>3.5502958579881656</v>
      </c>
      <c r="F40" s="7">
        <v>400</v>
      </c>
      <c r="G40" s="4">
        <v>42.3</v>
      </c>
      <c r="H40" s="7">
        <v>200</v>
      </c>
      <c r="I40" s="7">
        <v>25</v>
      </c>
      <c r="J40" s="4" t="s">
        <v>12</v>
      </c>
      <c r="K40" s="4">
        <v>6</v>
      </c>
      <c r="L40" s="4">
        <v>12</v>
      </c>
      <c r="M40" s="7">
        <f t="shared" si="8"/>
        <v>113.09399999999999</v>
      </c>
      <c r="N40" s="7">
        <f t="shared" si="9"/>
        <v>678.56399999999996</v>
      </c>
      <c r="O40" s="10">
        <v>48.975999999999999</v>
      </c>
      <c r="P40" s="7">
        <f t="shared" si="7"/>
        <v>33233.350463999996</v>
      </c>
      <c r="Q40" s="4">
        <f>N40/F40/(H40-I40-L40/2)</f>
        <v>1.003792899408284E-2</v>
      </c>
      <c r="R40" s="7">
        <v>58.7</v>
      </c>
      <c r="S40" s="7">
        <f>R40/F40/H40*1000</f>
        <v>0.73375000000000012</v>
      </c>
      <c r="T40" s="5" t="s">
        <v>61</v>
      </c>
    </row>
    <row r="41" spans="1:20" s="7" customFormat="1" x14ac:dyDescent="0.25">
      <c r="A41" s="8"/>
      <c r="B41" s="7" t="s">
        <v>11</v>
      </c>
      <c r="C41" s="7">
        <v>1800</v>
      </c>
      <c r="D41" s="7">
        <v>600</v>
      </c>
      <c r="E41" s="7">
        <f>D41/(H41-I41-L41/2)</f>
        <v>2.8708133971291865</v>
      </c>
      <c r="F41" s="7">
        <v>400</v>
      </c>
      <c r="G41" s="4">
        <v>42.3</v>
      </c>
      <c r="H41" s="7">
        <v>240</v>
      </c>
      <c r="I41" s="7">
        <v>25</v>
      </c>
      <c r="J41" s="4" t="s">
        <v>12</v>
      </c>
      <c r="K41" s="4">
        <v>5</v>
      </c>
      <c r="L41" s="4">
        <v>12</v>
      </c>
      <c r="M41" s="7">
        <f t="shared" si="8"/>
        <v>113.09399999999999</v>
      </c>
      <c r="N41" s="7">
        <f t="shared" si="9"/>
        <v>565.47</v>
      </c>
      <c r="O41" s="10">
        <v>48.975999999999999</v>
      </c>
      <c r="P41" s="7">
        <f t="shared" si="7"/>
        <v>27694.458720000002</v>
      </c>
      <c r="Q41" s="4">
        <f>N41/F41/(H41-I41-L41/2)</f>
        <v>6.7639952153110052E-3</v>
      </c>
      <c r="R41" s="7">
        <v>63</v>
      </c>
      <c r="S41" s="7">
        <f>R41/F41/H41*1000</f>
        <v>0.65625</v>
      </c>
      <c r="T41" s="5" t="s">
        <v>61</v>
      </c>
    </row>
    <row r="42" spans="1:20" s="7" customFormat="1" x14ac:dyDescent="0.25">
      <c r="A42" s="9" t="s">
        <v>13</v>
      </c>
      <c r="B42" s="7" t="s">
        <v>9</v>
      </c>
      <c r="C42" s="7">
        <v>1800</v>
      </c>
      <c r="D42" s="7">
        <v>600</v>
      </c>
      <c r="E42" s="7">
        <f>D42/(H42-I42-L42/2)</f>
        <v>3.5608308605341246</v>
      </c>
      <c r="F42" s="7">
        <v>400</v>
      </c>
      <c r="G42" s="4">
        <v>43</v>
      </c>
      <c r="H42" s="7">
        <v>200</v>
      </c>
      <c r="I42" s="7">
        <v>25</v>
      </c>
      <c r="J42" s="4" t="s">
        <v>3</v>
      </c>
      <c r="K42" s="4">
        <v>4</v>
      </c>
      <c r="L42" s="4">
        <v>13</v>
      </c>
      <c r="M42" s="7">
        <f t="shared" si="8"/>
        <v>132.728375</v>
      </c>
      <c r="N42" s="7">
        <f t="shared" si="9"/>
        <v>530.9135</v>
      </c>
      <c r="O42" s="4">
        <v>53.642000000000003</v>
      </c>
      <c r="P42" s="7">
        <f t="shared" si="7"/>
        <v>28479.261967000002</v>
      </c>
      <c r="Q42" s="4">
        <f>N42/F42/(H42-I42-L42/2)</f>
        <v>7.8770548961424342E-3</v>
      </c>
      <c r="R42" s="7">
        <v>65.25</v>
      </c>
      <c r="S42" s="7">
        <f>R42/F42/H42*1000</f>
        <v>0.81562499999999993</v>
      </c>
      <c r="T42" s="5" t="s">
        <v>61</v>
      </c>
    </row>
    <row r="43" spans="1:20" s="7" customFormat="1" x14ac:dyDescent="0.25">
      <c r="A43" s="8"/>
      <c r="B43" s="7" t="s">
        <v>10</v>
      </c>
      <c r="C43" s="7">
        <v>1800</v>
      </c>
      <c r="D43" s="7">
        <v>600</v>
      </c>
      <c r="E43" s="7">
        <f>D43/(H43-I43-L43/2)</f>
        <v>3.5502958579881656</v>
      </c>
      <c r="F43" s="7">
        <v>400</v>
      </c>
      <c r="G43" s="4">
        <v>43</v>
      </c>
      <c r="H43" s="7">
        <v>200</v>
      </c>
      <c r="I43" s="7">
        <v>25</v>
      </c>
      <c r="J43" s="4" t="s">
        <v>12</v>
      </c>
      <c r="K43" s="4">
        <v>4</v>
      </c>
      <c r="L43" s="4">
        <v>12</v>
      </c>
      <c r="M43" s="7">
        <f t="shared" si="8"/>
        <v>113.09399999999999</v>
      </c>
      <c r="N43" s="7">
        <f t="shared" si="9"/>
        <v>452.37599999999998</v>
      </c>
      <c r="O43" s="4">
        <v>48.917000000000002</v>
      </c>
      <c r="P43" s="7">
        <f t="shared" si="7"/>
        <v>22128.876791999999</v>
      </c>
      <c r="Q43" s="4">
        <f>N43/F43/(H43-I43-L43/2)</f>
        <v>6.6919526627218923E-3</v>
      </c>
      <c r="R43" s="7">
        <v>52.4</v>
      </c>
      <c r="S43" s="7">
        <f>R43/F43/H43*1000</f>
        <v>0.65500000000000003</v>
      </c>
      <c r="T43" s="5" t="s">
        <v>61</v>
      </c>
    </row>
    <row r="44" spans="1:20" s="7" customFormat="1" x14ac:dyDescent="0.25">
      <c r="A44" s="8"/>
      <c r="B44" s="7" t="s">
        <v>9</v>
      </c>
      <c r="C44" s="7">
        <v>1800</v>
      </c>
      <c r="D44" s="7">
        <v>600</v>
      </c>
      <c r="E44" s="7">
        <f>D44/(H44-I44-L44/2)</f>
        <v>3.5608308605341246</v>
      </c>
      <c r="F44" s="7">
        <v>400</v>
      </c>
      <c r="G44" s="4">
        <v>43</v>
      </c>
      <c r="H44" s="7">
        <v>200</v>
      </c>
      <c r="I44" s="7">
        <v>25</v>
      </c>
      <c r="J44" s="4" t="s">
        <v>4</v>
      </c>
      <c r="K44" s="4">
        <v>4</v>
      </c>
      <c r="L44" s="4">
        <v>13</v>
      </c>
      <c r="M44" s="7">
        <f t="shared" si="8"/>
        <v>132.728375</v>
      </c>
      <c r="N44" s="7">
        <f t="shared" si="9"/>
        <v>530.9135</v>
      </c>
      <c r="O44" s="4">
        <v>141.25899999999999</v>
      </c>
      <c r="P44" s="7">
        <f t="shared" si="7"/>
        <v>74996.31009649999</v>
      </c>
      <c r="Q44" s="4">
        <f>N44/F44/(H44-I44-L44/2)</f>
        <v>7.8770548961424342E-3</v>
      </c>
      <c r="R44" s="7">
        <v>62.5</v>
      </c>
      <c r="S44" s="7">
        <f>R44/F44/H44*1000</f>
        <v>0.78125</v>
      </c>
      <c r="T44" s="5" t="s">
        <v>61</v>
      </c>
    </row>
    <row r="45" spans="1:20" s="7" customFormat="1" x14ac:dyDescent="0.25">
      <c r="A45" s="8"/>
      <c r="B45" s="7" t="s">
        <v>9</v>
      </c>
      <c r="C45" s="7">
        <v>1800</v>
      </c>
      <c r="D45" s="7">
        <v>600</v>
      </c>
      <c r="E45" s="7">
        <f>D45/(H45-I45-L45/2)</f>
        <v>3.5294117647058822</v>
      </c>
      <c r="F45" s="7">
        <v>400</v>
      </c>
      <c r="G45" s="4">
        <v>43</v>
      </c>
      <c r="H45" s="7">
        <v>200</v>
      </c>
      <c r="I45" s="7">
        <v>25</v>
      </c>
      <c r="J45" s="4" t="s">
        <v>3</v>
      </c>
      <c r="K45" s="4">
        <v>7</v>
      </c>
      <c r="L45" s="4">
        <v>10</v>
      </c>
      <c r="M45" s="7">
        <f t="shared" si="8"/>
        <v>78.537500000000009</v>
      </c>
      <c r="N45" s="7">
        <f t="shared" si="9"/>
        <v>549.76250000000005</v>
      </c>
      <c r="O45" s="4">
        <v>46.865000000000002</v>
      </c>
      <c r="P45" s="7">
        <f t="shared" si="7"/>
        <v>25764.619562500004</v>
      </c>
      <c r="Q45" s="4">
        <f>N45/F45/(H45-I45-L45/2)</f>
        <v>8.0847426470588239E-3</v>
      </c>
      <c r="R45" s="7">
        <v>49</v>
      </c>
      <c r="S45" s="7">
        <f>R45/F45/H45*1000</f>
        <v>0.61249999999999993</v>
      </c>
      <c r="T45" s="5" t="s">
        <v>61</v>
      </c>
    </row>
    <row r="46" spans="1:20" s="7" customFormat="1" x14ac:dyDescent="0.25">
      <c r="A46" s="8"/>
      <c r="B46" s="7" t="s">
        <v>9</v>
      </c>
      <c r="C46" s="7">
        <v>1800</v>
      </c>
      <c r="D46" s="7">
        <v>600</v>
      </c>
      <c r="E46" s="7">
        <f>D46/(H46-I46-L46/2)</f>
        <v>3.6253776435045317</v>
      </c>
      <c r="F46" s="7">
        <v>400</v>
      </c>
      <c r="G46" s="4">
        <v>43</v>
      </c>
      <c r="H46" s="7">
        <v>200</v>
      </c>
      <c r="I46" s="7">
        <v>25</v>
      </c>
      <c r="J46" s="4" t="s">
        <v>3</v>
      </c>
      <c r="K46" s="4">
        <v>2</v>
      </c>
      <c r="L46" s="4">
        <v>19</v>
      </c>
      <c r="M46" s="7">
        <f t="shared" si="8"/>
        <v>283.520375</v>
      </c>
      <c r="N46" s="7">
        <f t="shared" si="9"/>
        <v>567.04075</v>
      </c>
      <c r="O46" s="4">
        <v>47.963000000000001</v>
      </c>
      <c r="P46" s="7">
        <f t="shared" si="7"/>
        <v>27196.97549225</v>
      </c>
      <c r="Q46" s="4">
        <f>N46/F46/(H46-I46-L46/2)</f>
        <v>8.5655702416918417E-3</v>
      </c>
      <c r="R46" s="7">
        <v>62.5</v>
      </c>
      <c r="S46" s="7">
        <f>R46/F46/H46*1000</f>
        <v>0.78125</v>
      </c>
      <c r="T46" s="5" t="s">
        <v>63</v>
      </c>
    </row>
    <row r="47" spans="1:20" s="7" customFormat="1" x14ac:dyDescent="0.25">
      <c r="A47" s="8"/>
      <c r="B47" s="7" t="s">
        <v>9</v>
      </c>
      <c r="C47" s="7">
        <v>1800</v>
      </c>
      <c r="D47" s="7">
        <v>600</v>
      </c>
      <c r="E47" s="7">
        <f>D47/(H47-I47-L47/2)</f>
        <v>3.5608308605341246</v>
      </c>
      <c r="F47" s="7">
        <v>400</v>
      </c>
      <c r="G47" s="4">
        <v>43</v>
      </c>
      <c r="H47" s="7">
        <v>200</v>
      </c>
      <c r="I47" s="7">
        <v>25</v>
      </c>
      <c r="J47" s="4" t="s">
        <v>3</v>
      </c>
      <c r="K47" s="4">
        <v>2</v>
      </c>
      <c r="L47" s="4">
        <v>13</v>
      </c>
      <c r="M47" s="7">
        <f t="shared" si="8"/>
        <v>132.728375</v>
      </c>
      <c r="N47" s="7">
        <f t="shared" si="9"/>
        <v>265.45675</v>
      </c>
      <c r="O47" s="4">
        <v>53.642000000000003</v>
      </c>
      <c r="P47" s="7">
        <f t="shared" si="7"/>
        <v>14239.630983500001</v>
      </c>
      <c r="Q47" s="4">
        <f>N47/F47/(H47-I47-L47/2)</f>
        <v>3.9385274480712171E-3</v>
      </c>
      <c r="R47" s="7">
        <v>32.049999999999997</v>
      </c>
      <c r="S47" s="7">
        <f>R47/F47/H47*1000</f>
        <v>0.40062499999999995</v>
      </c>
      <c r="T47" s="5" t="s">
        <v>61</v>
      </c>
    </row>
    <row r="48" spans="1:20" s="7" customFormat="1" x14ac:dyDescent="0.25">
      <c r="A48" s="8"/>
      <c r="B48" s="7" t="s">
        <v>9</v>
      </c>
      <c r="C48" s="7">
        <v>1800</v>
      </c>
      <c r="D48" s="7">
        <v>600</v>
      </c>
      <c r="E48" s="7">
        <f>D48/(H48-I48-L48/2)</f>
        <v>3.5608308605341246</v>
      </c>
      <c r="F48" s="7">
        <v>400</v>
      </c>
      <c r="G48" s="4">
        <v>43</v>
      </c>
      <c r="H48" s="7">
        <v>200</v>
      </c>
      <c r="I48" s="7">
        <v>25</v>
      </c>
      <c r="J48" s="4" t="s">
        <v>3</v>
      </c>
      <c r="K48" s="4">
        <v>6</v>
      </c>
      <c r="L48" s="4">
        <v>13</v>
      </c>
      <c r="M48" s="7">
        <f t="shared" si="8"/>
        <v>132.728375</v>
      </c>
      <c r="N48" s="7">
        <f t="shared" si="9"/>
        <v>796.37024999999994</v>
      </c>
      <c r="O48" s="4">
        <v>53.642000000000003</v>
      </c>
      <c r="P48" s="7">
        <f t="shared" si="7"/>
        <v>42718.892950499998</v>
      </c>
      <c r="Q48" s="4">
        <f>N48/F48/(H48-I48-L48/2)</f>
        <v>1.1815582344213649E-2</v>
      </c>
      <c r="R48" s="7">
        <v>59.6</v>
      </c>
      <c r="S48" s="7">
        <f>R48/F48/H48*1000</f>
        <v>0.745</v>
      </c>
      <c r="T48" s="5" t="s">
        <v>61</v>
      </c>
    </row>
    <row r="49" spans="1:20" s="7" customFormat="1" x14ac:dyDescent="0.25">
      <c r="A49" s="8"/>
      <c r="B49" s="7" t="s">
        <v>9</v>
      </c>
      <c r="C49" s="7">
        <v>1800</v>
      </c>
      <c r="D49" s="4">
        <v>750</v>
      </c>
      <c r="E49" s="7">
        <f>D49/(H49-I49-L49/2)</f>
        <v>4.4510385756676554</v>
      </c>
      <c r="F49" s="7">
        <v>400</v>
      </c>
      <c r="G49" s="4">
        <v>43</v>
      </c>
      <c r="H49" s="7">
        <v>200</v>
      </c>
      <c r="I49" s="7">
        <v>25</v>
      </c>
      <c r="J49" s="4" t="s">
        <v>3</v>
      </c>
      <c r="K49" s="4">
        <v>4</v>
      </c>
      <c r="L49" s="4">
        <v>13</v>
      </c>
      <c r="M49" s="7">
        <f t="shared" si="8"/>
        <v>132.728375</v>
      </c>
      <c r="N49" s="7">
        <f t="shared" si="9"/>
        <v>530.9135</v>
      </c>
      <c r="O49" s="4">
        <v>53.642000000000003</v>
      </c>
      <c r="P49" s="7">
        <f t="shared" si="7"/>
        <v>28479.261967000002</v>
      </c>
      <c r="Q49" s="4">
        <f>N49/F49/(H49-I49-L49/2)</f>
        <v>7.8770548961424342E-3</v>
      </c>
      <c r="R49" s="7">
        <v>55</v>
      </c>
      <c r="S49" s="7">
        <f>R49/F49/H49*1000</f>
        <v>0.68750000000000011</v>
      </c>
      <c r="T49" s="5" t="s">
        <v>61</v>
      </c>
    </row>
    <row r="50" spans="1:20" s="7" customFormat="1" x14ac:dyDescent="0.25">
      <c r="A50" s="8"/>
      <c r="B50" s="7" t="s">
        <v>9</v>
      </c>
      <c r="C50" s="7">
        <v>1800</v>
      </c>
      <c r="D50" s="4">
        <v>450</v>
      </c>
      <c r="E50" s="7">
        <f>D50/(H50-I50-L50/2)</f>
        <v>2.6706231454005933</v>
      </c>
      <c r="F50" s="7">
        <v>400</v>
      </c>
      <c r="G50" s="4">
        <v>43</v>
      </c>
      <c r="H50" s="7">
        <v>200</v>
      </c>
      <c r="I50" s="7">
        <v>25</v>
      </c>
      <c r="J50" s="4" t="s">
        <v>3</v>
      </c>
      <c r="K50" s="4">
        <v>4</v>
      </c>
      <c r="L50" s="4">
        <v>13</v>
      </c>
      <c r="M50" s="7">
        <f t="shared" si="8"/>
        <v>132.728375</v>
      </c>
      <c r="N50" s="7">
        <f t="shared" si="9"/>
        <v>530.9135</v>
      </c>
      <c r="O50" s="4">
        <v>53.642000000000003</v>
      </c>
      <c r="P50" s="7">
        <f t="shared" si="7"/>
        <v>28479.261967000002</v>
      </c>
      <c r="Q50" s="4">
        <f>N50/F50/(H50-I50-L50/2)</f>
        <v>7.8770548961424342E-3</v>
      </c>
      <c r="R50" s="7">
        <v>62.55</v>
      </c>
      <c r="S50" s="7">
        <f>R50/F50/H50*1000</f>
        <v>0.78187499999999988</v>
      </c>
      <c r="T50" s="5" t="s">
        <v>61</v>
      </c>
    </row>
    <row r="51" spans="1:20" s="7" customFormat="1" x14ac:dyDescent="0.25">
      <c r="A51" s="8"/>
      <c r="B51" s="7" t="s">
        <v>9</v>
      </c>
      <c r="C51" s="7">
        <v>1800</v>
      </c>
      <c r="D51" s="7">
        <v>600</v>
      </c>
      <c r="E51" s="7">
        <f>D51/(H51-I51-L51/2)</f>
        <v>3.5608308605341246</v>
      </c>
      <c r="F51" s="7">
        <v>400</v>
      </c>
      <c r="G51" s="4">
        <v>53.1</v>
      </c>
      <c r="H51" s="7">
        <v>200</v>
      </c>
      <c r="I51" s="7">
        <v>25</v>
      </c>
      <c r="J51" s="4" t="s">
        <v>3</v>
      </c>
      <c r="K51" s="4">
        <v>4</v>
      </c>
      <c r="L51" s="4">
        <v>13</v>
      </c>
      <c r="M51" s="7">
        <f t="shared" si="8"/>
        <v>132.728375</v>
      </c>
      <c r="N51" s="7">
        <f t="shared" si="9"/>
        <v>530.9135</v>
      </c>
      <c r="O51" s="4">
        <v>53.642000000000003</v>
      </c>
      <c r="P51" s="7">
        <f t="shared" si="7"/>
        <v>28479.261967000002</v>
      </c>
      <c r="Q51" s="4">
        <f>N51/F51/(H51-I51-L51/2)</f>
        <v>7.8770548961424342E-3</v>
      </c>
      <c r="R51" s="7">
        <v>68.05</v>
      </c>
      <c r="S51" s="7">
        <f>R51/F51/H51*1000</f>
        <v>0.85062500000000008</v>
      </c>
      <c r="T51" s="5" t="s">
        <v>61</v>
      </c>
    </row>
    <row r="52" spans="1:20" s="7" customFormat="1" ht="14.25" customHeight="1" x14ac:dyDescent="0.25">
      <c r="A52" s="9" t="s">
        <v>24</v>
      </c>
      <c r="B52" s="7" t="s">
        <v>25</v>
      </c>
      <c r="C52" s="7">
        <v>2150</v>
      </c>
      <c r="D52" s="7">
        <v>400</v>
      </c>
      <c r="E52" s="7">
        <f>D52/(H52-I52-L52/2)</f>
        <v>3.3613445378151261</v>
      </c>
      <c r="F52" s="7">
        <v>600</v>
      </c>
      <c r="G52" s="4">
        <v>55.12</v>
      </c>
      <c r="H52" s="7">
        <v>150</v>
      </c>
      <c r="I52" s="7">
        <v>25</v>
      </c>
      <c r="J52" s="4" t="s">
        <v>12</v>
      </c>
      <c r="K52" s="4">
        <v>5</v>
      </c>
      <c r="L52" s="4">
        <v>12</v>
      </c>
      <c r="M52" s="7">
        <f t="shared" si="8"/>
        <v>113.09399999999999</v>
      </c>
      <c r="N52" s="7">
        <f t="shared" si="9"/>
        <v>565.47</v>
      </c>
      <c r="O52" s="4">
        <v>49.48</v>
      </c>
      <c r="P52" s="7">
        <f t="shared" si="7"/>
        <v>27979.455600000001</v>
      </c>
      <c r="Q52" s="4">
        <f>N52/F52/(H52-I52-L52/2)</f>
        <v>7.9197478991596647E-3</v>
      </c>
      <c r="R52" s="7">
        <v>69.819999999999993</v>
      </c>
      <c r="S52" s="7">
        <f>R52/F52/H52*1000</f>
        <v>0.77577777777777768</v>
      </c>
      <c r="T52" s="5" t="s">
        <v>60</v>
      </c>
    </row>
    <row r="53" spans="1:20" s="7" customFormat="1" x14ac:dyDescent="0.25">
      <c r="A53" s="9"/>
      <c r="B53" s="7" t="s">
        <v>25</v>
      </c>
      <c r="C53" s="7">
        <v>2150</v>
      </c>
      <c r="D53" s="7">
        <v>400</v>
      </c>
      <c r="E53" s="7">
        <f>D53/(H53-I53-L53/2)</f>
        <v>3.3613445378151261</v>
      </c>
      <c r="F53" s="7">
        <v>600</v>
      </c>
      <c r="G53" s="4">
        <v>55.12</v>
      </c>
      <c r="H53" s="7">
        <v>150</v>
      </c>
      <c r="I53" s="7">
        <v>25</v>
      </c>
      <c r="J53" s="4" t="s">
        <v>12</v>
      </c>
      <c r="K53" s="4">
        <v>5</v>
      </c>
      <c r="L53" s="4">
        <v>12</v>
      </c>
      <c r="M53" s="7">
        <f t="shared" si="8"/>
        <v>113.09399999999999</v>
      </c>
      <c r="N53" s="7">
        <f t="shared" si="9"/>
        <v>565.47</v>
      </c>
      <c r="O53" s="4">
        <v>50</v>
      </c>
      <c r="P53" s="7">
        <f t="shared" si="7"/>
        <v>28273.5</v>
      </c>
      <c r="Q53" s="4">
        <f>N53/F53/(H53-I53-L53/2)</f>
        <v>7.9197478991596647E-3</v>
      </c>
      <c r="R53" s="7">
        <v>76.180000000000007</v>
      </c>
      <c r="S53" s="7">
        <f>R53/F53/H53*1000</f>
        <v>0.84644444444444444</v>
      </c>
      <c r="T53" s="5" t="s">
        <v>60</v>
      </c>
    </row>
    <row r="54" spans="1:20" s="7" customFormat="1" x14ac:dyDescent="0.25">
      <c r="A54" s="9"/>
      <c r="B54" s="7" t="s">
        <v>25</v>
      </c>
      <c r="C54" s="7">
        <v>2150</v>
      </c>
      <c r="D54" s="7">
        <v>400</v>
      </c>
      <c r="E54" s="7">
        <f>D54/(H54-I54-L54/2)</f>
        <v>3.3613445378151261</v>
      </c>
      <c r="F54" s="7">
        <v>600</v>
      </c>
      <c r="G54" s="4">
        <v>55.12</v>
      </c>
      <c r="H54" s="7">
        <v>150</v>
      </c>
      <c r="I54" s="7">
        <v>25</v>
      </c>
      <c r="J54" s="4" t="s">
        <v>3</v>
      </c>
      <c r="K54" s="4">
        <v>5</v>
      </c>
      <c r="L54" s="4">
        <v>12</v>
      </c>
      <c r="M54" s="7">
        <f t="shared" si="8"/>
        <v>113.09399999999999</v>
      </c>
      <c r="N54" s="7">
        <f t="shared" si="9"/>
        <v>565.47</v>
      </c>
      <c r="O54" s="4">
        <v>47</v>
      </c>
      <c r="P54" s="7">
        <f t="shared" si="7"/>
        <v>26577.09</v>
      </c>
      <c r="Q54" s="4">
        <f>N54/F54/(H54-I54-L54/2)</f>
        <v>7.9197478991596647E-3</v>
      </c>
      <c r="R54" s="7">
        <v>82.96</v>
      </c>
      <c r="S54" s="7">
        <f>R54/F54/H54*1000</f>
        <v>0.9217777777777777</v>
      </c>
      <c r="T54" s="5" t="s">
        <v>60</v>
      </c>
    </row>
    <row r="55" spans="1:20" s="7" customFormat="1" x14ac:dyDescent="0.25">
      <c r="A55" s="9"/>
      <c r="B55" s="7" t="s">
        <v>25</v>
      </c>
      <c r="C55" s="7">
        <v>2150</v>
      </c>
      <c r="D55" s="7">
        <v>400</v>
      </c>
      <c r="E55" s="7">
        <f>D55/(H55-I55-L55/2)</f>
        <v>3.3613445378151261</v>
      </c>
      <c r="F55" s="7">
        <v>600</v>
      </c>
      <c r="G55" s="4">
        <v>55.33</v>
      </c>
      <c r="H55" s="7">
        <v>150</v>
      </c>
      <c r="I55" s="7">
        <v>25</v>
      </c>
      <c r="J55" s="4" t="s">
        <v>12</v>
      </c>
      <c r="K55" s="4">
        <v>5</v>
      </c>
      <c r="L55" s="4">
        <v>12</v>
      </c>
      <c r="M55" s="7">
        <f t="shared" si="8"/>
        <v>113.09399999999999</v>
      </c>
      <c r="N55" s="7">
        <f t="shared" si="9"/>
        <v>565.47</v>
      </c>
      <c r="O55" s="4">
        <v>49.48</v>
      </c>
      <c r="P55" s="7">
        <f t="shared" si="7"/>
        <v>27979.455600000001</v>
      </c>
      <c r="Q55" s="4">
        <f>N55/F55/(H55-I55-L55/2)</f>
        <v>7.9197478991596647E-3</v>
      </c>
      <c r="R55" s="7">
        <v>81.48</v>
      </c>
      <c r="S55" s="7">
        <f>R55/F55/H55*1000</f>
        <v>0.90533333333333343</v>
      </c>
      <c r="T55" s="5" t="s">
        <v>60</v>
      </c>
    </row>
    <row r="56" spans="1:20" s="7" customFormat="1" x14ac:dyDescent="0.25">
      <c r="A56" s="9"/>
      <c r="B56" s="7" t="s">
        <v>25</v>
      </c>
      <c r="C56" s="7">
        <v>2150</v>
      </c>
      <c r="D56" s="7">
        <v>400</v>
      </c>
      <c r="E56" s="7">
        <f>D56/(H56-I56-L56/2)</f>
        <v>3.3613445378151261</v>
      </c>
      <c r="F56" s="7">
        <v>600</v>
      </c>
      <c r="G56" s="4">
        <v>55.12</v>
      </c>
      <c r="H56" s="7">
        <v>150</v>
      </c>
      <c r="I56" s="7">
        <v>25</v>
      </c>
      <c r="J56" s="4" t="s">
        <v>12</v>
      </c>
      <c r="K56" s="4">
        <v>8</v>
      </c>
      <c r="L56" s="4">
        <v>12</v>
      </c>
      <c r="M56" s="7">
        <f t="shared" si="8"/>
        <v>113.09399999999999</v>
      </c>
      <c r="N56" s="7">
        <f t="shared" si="9"/>
        <v>904.75199999999995</v>
      </c>
      <c r="O56" s="4">
        <v>49.48</v>
      </c>
      <c r="P56" s="7">
        <f t="shared" si="7"/>
        <v>44767.128959999995</v>
      </c>
      <c r="Q56" s="4">
        <f>N56/F56/(H56-I56-L56/2)</f>
        <v>1.2671596638655462E-2</v>
      </c>
      <c r="R56" s="7">
        <v>90.08</v>
      </c>
      <c r="S56" s="7">
        <f>R56/F56/H56*1000</f>
        <v>1.0008888888888889</v>
      </c>
      <c r="T56" s="5" t="s">
        <v>60</v>
      </c>
    </row>
    <row r="57" spans="1:20" s="7" customFormat="1" x14ac:dyDescent="0.25">
      <c r="A57" s="9"/>
      <c r="B57" s="7" t="s">
        <v>25</v>
      </c>
      <c r="C57" s="7">
        <v>2150</v>
      </c>
      <c r="D57" s="7">
        <v>400</v>
      </c>
      <c r="E57" s="7">
        <f>D57/(H57-I57-L57/2)</f>
        <v>3.3613445378151261</v>
      </c>
      <c r="F57" s="7">
        <v>600</v>
      </c>
      <c r="G57" s="4">
        <v>55.12</v>
      </c>
      <c r="H57" s="7">
        <v>150</v>
      </c>
      <c r="I57" s="7">
        <v>25</v>
      </c>
      <c r="J57" s="4" t="s">
        <v>12</v>
      </c>
      <c r="K57" s="4">
        <v>8</v>
      </c>
      <c r="L57" s="4">
        <v>12</v>
      </c>
      <c r="M57" s="7">
        <f t="shared" si="8"/>
        <v>113.09399999999999</v>
      </c>
      <c r="N57" s="7">
        <f t="shared" si="9"/>
        <v>904.75199999999995</v>
      </c>
      <c r="O57" s="4">
        <v>50</v>
      </c>
      <c r="P57" s="7">
        <f t="shared" si="7"/>
        <v>45237.599999999999</v>
      </c>
      <c r="Q57" s="4">
        <f>N57/F57/(H57-I57-L57/2)</f>
        <v>1.2671596638655462E-2</v>
      </c>
      <c r="R57" s="7">
        <v>95.65</v>
      </c>
      <c r="S57" s="7">
        <f>R57/F57/H57*1000</f>
        <v>1.062777777777778</v>
      </c>
      <c r="T57" s="5" t="s">
        <v>60</v>
      </c>
    </row>
    <row r="58" spans="1:20" s="7" customFormat="1" x14ac:dyDescent="0.25">
      <c r="A58" s="9"/>
      <c r="B58" s="7" t="s">
        <v>25</v>
      </c>
      <c r="C58" s="7">
        <v>2150</v>
      </c>
      <c r="D58" s="7">
        <v>400</v>
      </c>
      <c r="E58" s="7">
        <f>D58/(H58-I58-L58/2)</f>
        <v>3.3613445378151261</v>
      </c>
      <c r="F58" s="7">
        <v>600</v>
      </c>
      <c r="G58" s="4">
        <v>55.33</v>
      </c>
      <c r="H58" s="7">
        <v>150</v>
      </c>
      <c r="I58" s="7">
        <v>25</v>
      </c>
      <c r="J58" s="4" t="s">
        <v>12</v>
      </c>
      <c r="K58" s="4">
        <v>8</v>
      </c>
      <c r="L58" s="4">
        <v>12</v>
      </c>
      <c r="M58" s="7">
        <f t="shared" si="8"/>
        <v>113.09399999999999</v>
      </c>
      <c r="N58" s="7">
        <f t="shared" si="9"/>
        <v>904.75199999999995</v>
      </c>
      <c r="O58" s="4">
        <v>49.48</v>
      </c>
      <c r="P58" s="7">
        <f t="shared" si="7"/>
        <v>44767.128959999995</v>
      </c>
      <c r="Q58" s="4">
        <f>N58/F58/(H58-I58-L58/2)</f>
        <v>1.2671596638655462E-2</v>
      </c>
      <c r="R58" s="7">
        <v>93.55</v>
      </c>
      <c r="S58" s="7">
        <f>R58/F58/H58*1000</f>
        <v>1.0394444444444444</v>
      </c>
      <c r="T58" s="5" t="s">
        <v>60</v>
      </c>
    </row>
    <row r="59" spans="1:20" s="7" customFormat="1" ht="28.5" customHeight="1" x14ac:dyDescent="0.2">
      <c r="A59" s="9" t="s">
        <v>27</v>
      </c>
      <c r="B59" s="7" t="s">
        <v>28</v>
      </c>
      <c r="C59" s="7">
        <v>2200</v>
      </c>
      <c r="D59" s="7">
        <v>800</v>
      </c>
      <c r="E59" s="7" t="e">
        <f>D59/(H59-I59-L59/2)</f>
        <v>#VALUE!</v>
      </c>
      <c r="F59" s="7">
        <v>500</v>
      </c>
      <c r="G59" s="4">
        <v>33.4</v>
      </c>
      <c r="H59" s="7">
        <v>175</v>
      </c>
      <c r="I59" s="7">
        <v>25</v>
      </c>
      <c r="J59" s="4" t="s">
        <v>12</v>
      </c>
      <c r="K59" s="4">
        <v>4</v>
      </c>
      <c r="L59" s="4" t="s">
        <v>29</v>
      </c>
      <c r="M59" s="7" t="e">
        <f t="shared" si="8"/>
        <v>#VALUE!</v>
      </c>
      <c r="N59" s="7">
        <v>405.73</v>
      </c>
      <c r="O59" s="4">
        <v>48</v>
      </c>
      <c r="P59" s="7">
        <f t="shared" si="7"/>
        <v>19475.04</v>
      </c>
      <c r="Q59" s="4">
        <v>0.04</v>
      </c>
      <c r="R59" s="7">
        <v>96.4</v>
      </c>
      <c r="S59" s="7">
        <f>R59/F59/H59*1000</f>
        <v>1.1017142857142856</v>
      </c>
      <c r="T59" s="7" t="s">
        <v>35</v>
      </c>
    </row>
    <row r="60" spans="1:20" s="7" customFormat="1" x14ac:dyDescent="0.2">
      <c r="A60" s="9"/>
      <c r="B60" s="7" t="s">
        <v>28</v>
      </c>
      <c r="C60" s="7">
        <v>2200</v>
      </c>
      <c r="D60" s="7">
        <v>800</v>
      </c>
      <c r="E60" s="7" t="e">
        <f>D60/(H60-I60-L60/2)</f>
        <v>#VALUE!</v>
      </c>
      <c r="F60" s="7">
        <v>500</v>
      </c>
      <c r="G60" s="4">
        <v>35.6</v>
      </c>
      <c r="H60" s="7">
        <v>175</v>
      </c>
      <c r="I60" s="7">
        <v>25</v>
      </c>
      <c r="J60" s="4" t="s">
        <v>12</v>
      </c>
      <c r="K60" s="4">
        <v>4</v>
      </c>
      <c r="L60" s="4" t="s">
        <v>29</v>
      </c>
      <c r="M60" s="7" t="e">
        <f t="shared" si="8"/>
        <v>#VALUE!</v>
      </c>
      <c r="N60" s="7">
        <v>405.73</v>
      </c>
      <c r="O60" s="4">
        <v>48</v>
      </c>
      <c r="P60" s="7">
        <f t="shared" si="7"/>
        <v>19475.04</v>
      </c>
      <c r="Q60" s="4">
        <v>0.04</v>
      </c>
      <c r="R60" s="7">
        <v>100.6</v>
      </c>
      <c r="S60" s="7">
        <f>R60/F60/H60*1000</f>
        <v>1.1497142857142857</v>
      </c>
      <c r="T60" s="7" t="s">
        <v>35</v>
      </c>
    </row>
    <row r="61" spans="1:20" s="7" customFormat="1" x14ac:dyDescent="0.2">
      <c r="A61" s="9"/>
      <c r="B61" s="7" t="s">
        <v>28</v>
      </c>
      <c r="C61" s="7">
        <v>2200</v>
      </c>
      <c r="D61" s="7">
        <v>800</v>
      </c>
      <c r="E61" s="7" t="e">
        <f>D61/(H61-I61-L61/2)</f>
        <v>#VALUE!</v>
      </c>
      <c r="F61" s="7">
        <v>500</v>
      </c>
      <c r="G61" s="4">
        <v>30.6</v>
      </c>
      <c r="H61" s="7">
        <v>175</v>
      </c>
      <c r="I61" s="7">
        <v>25</v>
      </c>
      <c r="J61" s="4" t="s">
        <v>12</v>
      </c>
      <c r="K61" s="4">
        <v>4</v>
      </c>
      <c r="L61" s="4" t="s">
        <v>29</v>
      </c>
      <c r="M61" s="7" t="e">
        <f t="shared" si="8"/>
        <v>#VALUE!</v>
      </c>
      <c r="N61" s="7">
        <v>405.73</v>
      </c>
      <c r="O61" s="4">
        <v>48</v>
      </c>
      <c r="P61" s="7">
        <f t="shared" si="7"/>
        <v>19475.04</v>
      </c>
      <c r="Q61" s="4">
        <v>0.04</v>
      </c>
      <c r="R61" s="7">
        <v>81.2</v>
      </c>
      <c r="S61" s="7">
        <f>R61/F61/H61*1000</f>
        <v>0.92800000000000016</v>
      </c>
      <c r="T61" s="7" t="s">
        <v>35</v>
      </c>
    </row>
    <row r="62" spans="1:20" s="7" customFormat="1" x14ac:dyDescent="0.2">
      <c r="A62" s="9"/>
      <c r="B62" s="7" t="s">
        <v>28</v>
      </c>
      <c r="C62" s="7">
        <v>2200</v>
      </c>
      <c r="D62" s="7">
        <v>800</v>
      </c>
      <c r="E62" s="7" t="e">
        <f>D62/(H62-I62-L62/2)</f>
        <v>#VALUE!</v>
      </c>
      <c r="F62" s="7">
        <v>500</v>
      </c>
      <c r="G62" s="4">
        <v>42.6</v>
      </c>
      <c r="H62" s="7">
        <v>175</v>
      </c>
      <c r="I62" s="7">
        <v>25</v>
      </c>
      <c r="J62" s="4" t="s">
        <v>12</v>
      </c>
      <c r="K62" s="4">
        <v>4</v>
      </c>
      <c r="L62" s="4" t="s">
        <v>29</v>
      </c>
      <c r="M62" s="7" t="e">
        <f t="shared" si="8"/>
        <v>#VALUE!</v>
      </c>
      <c r="N62" s="7">
        <v>405.73</v>
      </c>
      <c r="O62" s="4">
        <v>48</v>
      </c>
      <c r="P62" s="7">
        <f t="shared" si="7"/>
        <v>19475.04</v>
      </c>
      <c r="Q62" s="4">
        <v>0.04</v>
      </c>
      <c r="R62" s="7">
        <v>110</v>
      </c>
      <c r="S62" s="7">
        <f>R62/F62/H62*1000</f>
        <v>1.2571428571428571</v>
      </c>
      <c r="T62" s="7" t="s">
        <v>35</v>
      </c>
    </row>
    <row r="63" spans="1:20" s="7" customFormat="1" x14ac:dyDescent="0.2">
      <c r="A63" s="9"/>
      <c r="B63" s="7" t="s">
        <v>28</v>
      </c>
      <c r="C63" s="7">
        <v>2200</v>
      </c>
      <c r="D63" s="7">
        <v>800</v>
      </c>
      <c r="E63" s="7" t="e">
        <f>D63/(H63-I63-L63/2)</f>
        <v>#VALUE!</v>
      </c>
      <c r="F63" s="7">
        <v>500</v>
      </c>
      <c r="G63" s="4">
        <v>38</v>
      </c>
      <c r="H63" s="7">
        <v>175</v>
      </c>
      <c r="I63" s="7">
        <v>25</v>
      </c>
      <c r="J63" s="4" t="s">
        <v>12</v>
      </c>
      <c r="K63" s="4">
        <v>8</v>
      </c>
      <c r="L63" s="4" t="s">
        <v>29</v>
      </c>
      <c r="M63" s="7" t="e">
        <f t="shared" si="8"/>
        <v>#VALUE!</v>
      </c>
      <c r="N63" s="7">
        <v>811.44</v>
      </c>
      <c r="O63" s="4">
        <v>48</v>
      </c>
      <c r="P63" s="7">
        <f t="shared" si="7"/>
        <v>38949.120000000003</v>
      </c>
      <c r="Q63" s="4">
        <v>0.08</v>
      </c>
      <c r="R63" s="7">
        <v>110.8</v>
      </c>
      <c r="S63" s="7">
        <f>R63/F63/H63*1000</f>
        <v>1.2662857142857142</v>
      </c>
      <c r="T63" s="7" t="s">
        <v>35</v>
      </c>
    </row>
    <row r="64" spans="1:20" s="7" customFormat="1" x14ac:dyDescent="0.2">
      <c r="A64" s="9"/>
      <c r="B64" s="7" t="s">
        <v>28</v>
      </c>
      <c r="C64" s="7">
        <v>2200</v>
      </c>
      <c r="D64" s="7">
        <v>800</v>
      </c>
      <c r="E64" s="7" t="e">
        <f>D64/(H64-I64-L64/2)</f>
        <v>#VALUE!</v>
      </c>
      <c r="F64" s="7">
        <v>500</v>
      </c>
      <c r="G64" s="4">
        <v>36.799999999999997</v>
      </c>
      <c r="H64" s="7">
        <v>175</v>
      </c>
      <c r="I64" s="7">
        <v>25</v>
      </c>
      <c r="J64" s="4" t="s">
        <v>12</v>
      </c>
      <c r="K64" s="4">
        <v>8</v>
      </c>
      <c r="L64" s="4" t="s">
        <v>29</v>
      </c>
      <c r="M64" s="7" t="e">
        <f t="shared" si="8"/>
        <v>#VALUE!</v>
      </c>
      <c r="N64" s="7">
        <v>811.44</v>
      </c>
      <c r="O64" s="4">
        <v>48</v>
      </c>
      <c r="P64" s="7">
        <f t="shared" si="7"/>
        <v>38949.120000000003</v>
      </c>
      <c r="Q64" s="4">
        <v>0.08</v>
      </c>
      <c r="R64" s="7">
        <v>111.1</v>
      </c>
      <c r="S64" s="7">
        <f>R64/F64/H64*1000</f>
        <v>1.2697142857142858</v>
      </c>
      <c r="T64" s="7" t="s">
        <v>35</v>
      </c>
    </row>
    <row r="65" spans="1:20" s="7" customFormat="1" x14ac:dyDescent="0.2">
      <c r="A65" s="9"/>
      <c r="B65" s="7" t="s">
        <v>28</v>
      </c>
      <c r="C65" s="7">
        <v>2200</v>
      </c>
      <c r="D65" s="7">
        <v>800</v>
      </c>
      <c r="E65" s="7" t="e">
        <f>D65/(H65-I65-L65/2)</f>
        <v>#VALUE!</v>
      </c>
      <c r="F65" s="7">
        <v>500</v>
      </c>
      <c r="G65" s="4">
        <v>39.200000000000003</v>
      </c>
      <c r="H65" s="7">
        <v>175</v>
      </c>
      <c r="I65" s="7">
        <v>25</v>
      </c>
      <c r="J65" s="4" t="s">
        <v>12</v>
      </c>
      <c r="K65" s="4">
        <v>8</v>
      </c>
      <c r="L65" s="4" t="s">
        <v>29</v>
      </c>
      <c r="M65" s="7" t="e">
        <f t="shared" si="8"/>
        <v>#VALUE!</v>
      </c>
      <c r="N65" s="7">
        <v>811.44</v>
      </c>
      <c r="O65" s="4">
        <v>48</v>
      </c>
      <c r="P65" s="7">
        <f t="shared" si="7"/>
        <v>38949.120000000003</v>
      </c>
      <c r="Q65" s="4">
        <v>0.08</v>
      </c>
      <c r="R65" s="7">
        <v>136.80000000000001</v>
      </c>
      <c r="S65" s="7">
        <f>R65/F65/H65*1000</f>
        <v>1.5634285714285716</v>
      </c>
      <c r="T65" s="7" t="s">
        <v>35</v>
      </c>
    </row>
    <row r="66" spans="1:20" s="7" customFormat="1" x14ac:dyDescent="0.2">
      <c r="A66" s="9"/>
      <c r="B66" s="7" t="s">
        <v>28</v>
      </c>
      <c r="C66" s="7">
        <v>2200</v>
      </c>
      <c r="D66" s="7">
        <v>800</v>
      </c>
      <c r="E66" s="7" t="e">
        <f>D66/(H66-I66-L66/2)</f>
        <v>#VALUE!</v>
      </c>
      <c r="F66" s="7">
        <v>500</v>
      </c>
      <c r="G66" s="4">
        <v>42.5</v>
      </c>
      <c r="H66" s="7">
        <v>175</v>
      </c>
      <c r="I66" s="7">
        <v>25</v>
      </c>
      <c r="J66" s="4" t="s">
        <v>12</v>
      </c>
      <c r="K66" s="4">
        <v>8</v>
      </c>
      <c r="L66" s="4" t="s">
        <v>29</v>
      </c>
      <c r="M66" s="7" t="e">
        <f t="shared" si="8"/>
        <v>#VALUE!</v>
      </c>
      <c r="N66" s="7">
        <v>811.44</v>
      </c>
      <c r="O66" s="4">
        <v>48</v>
      </c>
      <c r="P66" s="7">
        <f t="shared" si="7"/>
        <v>38949.120000000003</v>
      </c>
      <c r="Q66" s="4">
        <v>0.08</v>
      </c>
      <c r="R66" s="7">
        <v>155.4</v>
      </c>
      <c r="S66" s="7">
        <f>R66/F66/H66*1000</f>
        <v>1.776</v>
      </c>
      <c r="T66" s="7" t="s">
        <v>35</v>
      </c>
    </row>
    <row r="67" spans="1:20" s="7" customFormat="1" x14ac:dyDescent="0.2">
      <c r="A67" s="8" t="s">
        <v>30</v>
      </c>
      <c r="B67" s="7" t="s">
        <v>33</v>
      </c>
      <c r="C67" s="7">
        <v>1700</v>
      </c>
      <c r="D67" s="7">
        <v>550</v>
      </c>
      <c r="E67" s="7">
        <f>D67/(H67-I67-L67/2)</f>
        <v>4.0740740740740744</v>
      </c>
      <c r="F67" s="7">
        <v>700</v>
      </c>
      <c r="G67" s="4">
        <v>56.3</v>
      </c>
      <c r="H67" s="7">
        <v>140</v>
      </c>
      <c r="J67" s="4" t="s">
        <v>31</v>
      </c>
      <c r="K67" s="4">
        <v>6</v>
      </c>
      <c r="L67" s="4">
        <v>10</v>
      </c>
      <c r="M67" s="7">
        <f t="shared" si="8"/>
        <v>78.537500000000009</v>
      </c>
      <c r="N67" s="7">
        <v>471</v>
      </c>
      <c r="O67" s="4">
        <v>40</v>
      </c>
      <c r="P67" s="7">
        <f t="shared" si="7"/>
        <v>18840</v>
      </c>
      <c r="Q67" s="4"/>
      <c r="R67" s="7">
        <v>239</v>
      </c>
      <c r="S67" s="7">
        <f>R67/F67/H67*1000</f>
        <v>2.4387755102040813</v>
      </c>
      <c r="T67" s="7" t="s">
        <v>35</v>
      </c>
    </row>
    <row r="68" spans="1:20" s="7" customFormat="1" x14ac:dyDescent="0.2">
      <c r="A68" s="8"/>
      <c r="B68" s="7" t="s">
        <v>32</v>
      </c>
      <c r="C68" s="7">
        <v>1700</v>
      </c>
      <c r="D68" s="7">
        <v>550</v>
      </c>
      <c r="E68" s="7">
        <f>D68/(H68-I68-L68/2)</f>
        <v>4.7826086956521738</v>
      </c>
      <c r="F68" s="7">
        <v>700</v>
      </c>
      <c r="G68" s="4">
        <v>56.3</v>
      </c>
      <c r="H68" s="7">
        <v>120</v>
      </c>
      <c r="J68" s="4" t="s">
        <v>31</v>
      </c>
      <c r="K68" s="4">
        <v>5</v>
      </c>
      <c r="L68" s="4">
        <v>10</v>
      </c>
      <c r="M68" s="7">
        <f t="shared" si="8"/>
        <v>78.537500000000009</v>
      </c>
      <c r="N68" s="7">
        <v>392.5</v>
      </c>
      <c r="O68" s="4">
        <v>40</v>
      </c>
      <c r="P68" s="7">
        <f t="shared" si="7"/>
        <v>15700</v>
      </c>
      <c r="Q68" s="4"/>
      <c r="R68" s="7">
        <v>203.3</v>
      </c>
      <c r="S68" s="7">
        <f>R68/F68/H68*1000</f>
        <v>2.4202380952380951</v>
      </c>
      <c r="T68" s="7" t="s">
        <v>35</v>
      </c>
    </row>
    <row r="69" spans="1:20" s="7" customFormat="1" x14ac:dyDescent="0.2">
      <c r="A69" s="8"/>
      <c r="B69" s="7" t="s">
        <v>32</v>
      </c>
      <c r="C69" s="7">
        <v>1700</v>
      </c>
      <c r="D69" s="7">
        <v>550</v>
      </c>
      <c r="E69" s="7">
        <f>D69/(H69-I69-L69/2)</f>
        <v>4.7413793103448274</v>
      </c>
      <c r="F69" s="7">
        <v>700</v>
      </c>
      <c r="G69" s="4">
        <v>56.3</v>
      </c>
      <c r="H69" s="7">
        <v>120</v>
      </c>
      <c r="J69" s="4" t="s">
        <v>31</v>
      </c>
      <c r="K69" s="4">
        <v>5</v>
      </c>
      <c r="L69" s="4">
        <v>8</v>
      </c>
      <c r="M69" s="7">
        <f t="shared" si="8"/>
        <v>50.264000000000003</v>
      </c>
      <c r="N69" s="7">
        <v>251.2</v>
      </c>
      <c r="O69" s="4">
        <v>40</v>
      </c>
      <c r="P69" s="7">
        <f t="shared" si="7"/>
        <v>10048</v>
      </c>
      <c r="Q69" s="4"/>
      <c r="R69" s="7">
        <v>185.5</v>
      </c>
      <c r="S69" s="7">
        <f>R69/F69/H69*1000</f>
        <v>2.2083333333333335</v>
      </c>
      <c r="T69" s="7" t="s">
        <v>35</v>
      </c>
    </row>
    <row r="70" spans="1:20" s="7" customFormat="1" x14ac:dyDescent="0.2">
      <c r="A70" s="8"/>
      <c r="B70" s="7" t="s">
        <v>33</v>
      </c>
      <c r="C70" s="7">
        <v>1700</v>
      </c>
      <c r="D70" s="7">
        <v>550</v>
      </c>
      <c r="E70" s="7">
        <f>D70/(H70-I70-L70/2)</f>
        <v>4.0441176470588234</v>
      </c>
      <c r="F70" s="7">
        <v>700</v>
      </c>
      <c r="G70" s="4">
        <v>56.3</v>
      </c>
      <c r="H70" s="7">
        <v>140</v>
      </c>
      <c r="J70" s="4" t="s">
        <v>31</v>
      </c>
      <c r="K70" s="4">
        <v>6</v>
      </c>
      <c r="L70" s="4">
        <v>8</v>
      </c>
      <c r="M70" s="7">
        <f t="shared" si="8"/>
        <v>50.264000000000003</v>
      </c>
      <c r="N70" s="7">
        <v>301.5</v>
      </c>
      <c r="O70" s="4">
        <v>40</v>
      </c>
      <c r="P70" s="7">
        <f t="shared" si="7"/>
        <v>12060</v>
      </c>
      <c r="Q70" s="4"/>
      <c r="R70" s="7">
        <v>207.1</v>
      </c>
      <c r="S70" s="7">
        <f>R70/F70/H70*1000</f>
        <v>2.1132653061224489</v>
      </c>
      <c r="T70" s="7" t="s">
        <v>35</v>
      </c>
    </row>
    <row r="71" spans="1:20" s="7" customFormat="1" x14ac:dyDescent="0.2">
      <c r="A71" s="8"/>
      <c r="B71" s="7" t="s">
        <v>32</v>
      </c>
      <c r="C71" s="7">
        <v>1700</v>
      </c>
      <c r="D71" s="7">
        <v>550</v>
      </c>
      <c r="E71" s="7">
        <f>D71/(H71-I71-L71/2)</f>
        <v>4.700854700854701</v>
      </c>
      <c r="F71" s="7">
        <v>700</v>
      </c>
      <c r="G71" s="4">
        <v>56.3</v>
      </c>
      <c r="H71" s="7">
        <v>120</v>
      </c>
      <c r="J71" s="4" t="s">
        <v>31</v>
      </c>
      <c r="K71" s="4">
        <v>5</v>
      </c>
      <c r="L71" s="4">
        <v>6</v>
      </c>
      <c r="M71" s="7">
        <f t="shared" si="8"/>
        <v>28.273499999999999</v>
      </c>
      <c r="N71" s="7">
        <v>141.30000000000001</v>
      </c>
      <c r="O71" s="4">
        <v>40</v>
      </c>
      <c r="P71" s="7">
        <f t="shared" si="7"/>
        <v>5652</v>
      </c>
      <c r="Q71" s="4"/>
      <c r="R71" s="7">
        <v>150</v>
      </c>
      <c r="S71" s="7">
        <f>R71/F71/H71*1000</f>
        <v>1.7857142857142856</v>
      </c>
      <c r="T71" s="7" t="s">
        <v>35</v>
      </c>
    </row>
    <row r="72" spans="1:20" s="7" customFormat="1" x14ac:dyDescent="0.2">
      <c r="A72" s="8" t="s">
        <v>34</v>
      </c>
      <c r="B72" s="7" t="s">
        <v>39</v>
      </c>
      <c r="C72" s="7">
        <v>3600</v>
      </c>
      <c r="D72" s="7">
        <v>1300</v>
      </c>
      <c r="E72" s="7">
        <v>8</v>
      </c>
      <c r="F72" s="7">
        <v>1200</v>
      </c>
      <c r="G72" s="4">
        <v>33</v>
      </c>
      <c r="H72" s="7">
        <v>150</v>
      </c>
      <c r="J72" s="4" t="s">
        <v>38</v>
      </c>
      <c r="K72" s="4">
        <v>3</v>
      </c>
      <c r="L72" s="4">
        <v>13</v>
      </c>
      <c r="M72" s="7">
        <f t="shared" si="8"/>
        <v>132.728375</v>
      </c>
      <c r="N72" s="7">
        <f>K72*M72</f>
        <v>398.18512499999997</v>
      </c>
      <c r="O72" s="4">
        <v>44</v>
      </c>
      <c r="P72" s="7">
        <f t="shared" si="7"/>
        <v>17520.145499999999</v>
      </c>
      <c r="Q72" s="4">
        <v>0.26</v>
      </c>
      <c r="R72" s="7">
        <v>52.6</v>
      </c>
      <c r="S72" s="7">
        <f>R72/F72/H72*1000</f>
        <v>0.29222222222222227</v>
      </c>
      <c r="T72" s="7" t="s">
        <v>35</v>
      </c>
    </row>
    <row r="73" spans="1:20" s="7" customFormat="1" x14ac:dyDescent="0.2">
      <c r="A73" s="8"/>
      <c r="B73" s="7" t="s">
        <v>39</v>
      </c>
      <c r="C73" s="7">
        <v>3600</v>
      </c>
      <c r="D73" s="7">
        <v>1300</v>
      </c>
      <c r="E73" s="7">
        <v>8</v>
      </c>
      <c r="F73" s="7">
        <v>1200</v>
      </c>
      <c r="G73" s="4">
        <v>33</v>
      </c>
      <c r="H73" s="7">
        <v>150</v>
      </c>
      <c r="J73" s="4" t="s">
        <v>38</v>
      </c>
      <c r="K73" s="4">
        <v>6</v>
      </c>
      <c r="L73" s="4">
        <v>13</v>
      </c>
      <c r="M73" s="7">
        <f t="shared" si="8"/>
        <v>132.728375</v>
      </c>
      <c r="N73" s="7">
        <f t="shared" ref="N73:N85" si="10">K73*M73</f>
        <v>796.37024999999994</v>
      </c>
      <c r="O73" s="4">
        <v>44</v>
      </c>
      <c r="P73" s="7">
        <f t="shared" si="7"/>
        <v>35040.290999999997</v>
      </c>
      <c r="Q73" s="4">
        <v>0.52</v>
      </c>
      <c r="R73" s="7">
        <v>102</v>
      </c>
      <c r="S73" s="7">
        <f>R73/F73/H73*1000</f>
        <v>0.56666666666666665</v>
      </c>
      <c r="T73" s="7" t="s">
        <v>26</v>
      </c>
    </row>
    <row r="74" spans="1:20" s="7" customFormat="1" x14ac:dyDescent="0.2">
      <c r="A74" s="8"/>
      <c r="B74" s="7" t="s">
        <v>39</v>
      </c>
      <c r="C74" s="7">
        <v>3600</v>
      </c>
      <c r="D74" s="7">
        <v>1300</v>
      </c>
      <c r="E74" s="7">
        <v>8</v>
      </c>
      <c r="F74" s="7">
        <v>1200</v>
      </c>
      <c r="G74" s="4">
        <v>33</v>
      </c>
      <c r="H74" s="7">
        <v>150</v>
      </c>
      <c r="J74" s="4" t="s">
        <v>38</v>
      </c>
      <c r="K74" s="4">
        <v>8</v>
      </c>
      <c r="L74" s="4">
        <v>13</v>
      </c>
      <c r="M74" s="7">
        <f t="shared" si="8"/>
        <v>132.728375</v>
      </c>
      <c r="N74" s="7">
        <f t="shared" si="10"/>
        <v>1061.827</v>
      </c>
      <c r="O74" s="4">
        <v>44</v>
      </c>
      <c r="P74" s="7">
        <f t="shared" si="7"/>
        <v>46720.387999999999</v>
      </c>
      <c r="Q74" s="4">
        <v>0.68</v>
      </c>
      <c r="R74" s="7">
        <v>143.5</v>
      </c>
      <c r="S74" s="7">
        <f>R74/F74/H74*1000</f>
        <v>0.79722222222222217</v>
      </c>
      <c r="T74" s="7" t="s">
        <v>26</v>
      </c>
    </row>
    <row r="75" spans="1:20" s="7" customFormat="1" x14ac:dyDescent="0.2">
      <c r="A75" s="8"/>
      <c r="B75" s="7" t="s">
        <v>39</v>
      </c>
      <c r="C75" s="7">
        <v>3600</v>
      </c>
      <c r="D75" s="7">
        <v>1300</v>
      </c>
      <c r="E75" s="7">
        <v>8</v>
      </c>
      <c r="F75" s="7">
        <v>1200</v>
      </c>
      <c r="G75" s="4">
        <v>33</v>
      </c>
      <c r="H75" s="7">
        <v>150</v>
      </c>
      <c r="J75" s="4" t="s">
        <v>38</v>
      </c>
      <c r="K75" s="4">
        <v>11</v>
      </c>
      <c r="L75" s="4">
        <v>13</v>
      </c>
      <c r="M75" s="7">
        <f t="shared" si="8"/>
        <v>132.728375</v>
      </c>
      <c r="N75" s="7">
        <f t="shared" si="10"/>
        <v>1460.012125</v>
      </c>
      <c r="O75" s="4">
        <v>44</v>
      </c>
      <c r="P75" s="7">
        <f t="shared" si="7"/>
        <v>64240.533499999998</v>
      </c>
      <c r="Q75" s="4">
        <v>0.94</v>
      </c>
      <c r="R75" s="7">
        <v>170.8</v>
      </c>
      <c r="S75" s="7">
        <f>R75/F75/H75*1000</f>
        <v>0.948888888888889</v>
      </c>
      <c r="T75" s="7" t="s">
        <v>26</v>
      </c>
    </row>
    <row r="76" spans="1:20" s="7" customFormat="1" x14ac:dyDescent="0.2">
      <c r="A76" s="8"/>
      <c r="B76" s="7" t="s">
        <v>39</v>
      </c>
      <c r="C76" s="7">
        <v>3600</v>
      </c>
      <c r="D76" s="7">
        <v>1300</v>
      </c>
      <c r="E76" s="7">
        <v>8</v>
      </c>
      <c r="F76" s="7">
        <v>1200</v>
      </c>
      <c r="G76" s="4">
        <v>33</v>
      </c>
      <c r="H76" s="7">
        <v>150</v>
      </c>
      <c r="J76" s="4" t="s">
        <v>38</v>
      </c>
      <c r="K76" s="4">
        <v>14</v>
      </c>
      <c r="L76" s="4">
        <v>13</v>
      </c>
      <c r="M76" s="7">
        <f t="shared" si="8"/>
        <v>132.728375</v>
      </c>
      <c r="N76" s="7">
        <f t="shared" si="10"/>
        <v>1858.1972499999999</v>
      </c>
      <c r="O76" s="4">
        <v>44</v>
      </c>
      <c r="P76" s="7">
        <f t="shared" si="7"/>
        <v>81760.679000000004</v>
      </c>
      <c r="Q76" s="4">
        <v>1.2</v>
      </c>
      <c r="R76" s="7">
        <v>196.8</v>
      </c>
      <c r="S76" s="7">
        <f>R76/F76/H76*1000</f>
        <v>1.0933333333333333</v>
      </c>
      <c r="T76" s="7" t="s">
        <v>26</v>
      </c>
    </row>
    <row r="77" spans="1:20" s="7" customFormat="1" x14ac:dyDescent="0.2">
      <c r="A77" s="8"/>
      <c r="B77" s="7" t="s">
        <v>40</v>
      </c>
      <c r="C77" s="7">
        <v>3600</v>
      </c>
      <c r="D77" s="7">
        <v>1300</v>
      </c>
      <c r="E77" s="7">
        <v>5.8</v>
      </c>
      <c r="F77" s="7">
        <v>1200</v>
      </c>
      <c r="G77" s="4">
        <v>33</v>
      </c>
      <c r="H77" s="7">
        <v>200</v>
      </c>
      <c r="J77" s="4" t="s">
        <v>38</v>
      </c>
      <c r="K77" s="4">
        <v>4</v>
      </c>
      <c r="L77" s="4">
        <v>13</v>
      </c>
      <c r="M77" s="7">
        <f t="shared" si="8"/>
        <v>132.728375</v>
      </c>
      <c r="N77" s="7">
        <f t="shared" si="10"/>
        <v>530.9135</v>
      </c>
      <c r="O77" s="4">
        <v>50</v>
      </c>
      <c r="P77" s="7">
        <f t="shared" si="7"/>
        <v>26545.674999999999</v>
      </c>
      <c r="Q77" s="4">
        <v>0.24</v>
      </c>
      <c r="R77" s="7">
        <v>85.1</v>
      </c>
      <c r="S77" s="7">
        <f>R77/F77/H77*1000</f>
        <v>0.35458333333333325</v>
      </c>
      <c r="T77" s="7" t="s">
        <v>35</v>
      </c>
    </row>
    <row r="78" spans="1:20" s="7" customFormat="1" x14ac:dyDescent="0.2">
      <c r="A78" s="8"/>
      <c r="B78" s="7" t="s">
        <v>40</v>
      </c>
      <c r="C78" s="7">
        <v>3600</v>
      </c>
      <c r="D78" s="7">
        <v>1300</v>
      </c>
      <c r="E78" s="7">
        <v>5.8</v>
      </c>
      <c r="F78" s="7">
        <v>1200</v>
      </c>
      <c r="G78" s="4">
        <v>33</v>
      </c>
      <c r="H78" s="7">
        <v>200</v>
      </c>
      <c r="J78" s="4" t="s">
        <v>38</v>
      </c>
      <c r="K78" s="4">
        <v>8</v>
      </c>
      <c r="L78" s="4">
        <v>13</v>
      </c>
      <c r="M78" s="7">
        <f t="shared" si="8"/>
        <v>132.728375</v>
      </c>
      <c r="N78" s="7">
        <f t="shared" si="10"/>
        <v>1061.827</v>
      </c>
      <c r="O78" s="4">
        <v>50</v>
      </c>
      <c r="P78" s="7">
        <f t="shared" si="7"/>
        <v>53091.35</v>
      </c>
      <c r="Q78" s="4">
        <v>0.49</v>
      </c>
      <c r="R78" s="7">
        <v>222.4</v>
      </c>
      <c r="S78" s="7">
        <f>R78/F78/H78*1000</f>
        <v>0.92666666666666675</v>
      </c>
      <c r="T78" s="7" t="s">
        <v>35</v>
      </c>
    </row>
    <row r="79" spans="1:20" s="7" customFormat="1" x14ac:dyDescent="0.2">
      <c r="A79" s="8"/>
      <c r="B79" s="7" t="s">
        <v>40</v>
      </c>
      <c r="C79" s="7">
        <v>3600</v>
      </c>
      <c r="D79" s="7">
        <v>1300</v>
      </c>
      <c r="E79" s="7">
        <v>5.8</v>
      </c>
      <c r="F79" s="7">
        <v>1200</v>
      </c>
      <c r="G79" s="4">
        <v>33</v>
      </c>
      <c r="H79" s="7">
        <v>200</v>
      </c>
      <c r="J79" s="4" t="s">
        <v>38</v>
      </c>
      <c r="K79" s="4">
        <v>12</v>
      </c>
      <c r="L79" s="4">
        <v>13</v>
      </c>
      <c r="M79" s="7">
        <f t="shared" si="8"/>
        <v>132.728375</v>
      </c>
      <c r="N79" s="7">
        <f t="shared" si="10"/>
        <v>1592.7404999999999</v>
      </c>
      <c r="O79" s="4">
        <v>50</v>
      </c>
      <c r="P79" s="7">
        <f t="shared" si="7"/>
        <v>79637.024999999994</v>
      </c>
      <c r="Q79" s="4">
        <v>0.73</v>
      </c>
      <c r="R79" s="7">
        <v>266.3</v>
      </c>
      <c r="S79" s="7">
        <f>R79/F79/H79*1000</f>
        <v>1.1095833333333334</v>
      </c>
      <c r="T79" s="7" t="s">
        <v>36</v>
      </c>
    </row>
    <row r="80" spans="1:20" s="7" customFormat="1" x14ac:dyDescent="0.2">
      <c r="A80" s="8"/>
      <c r="B80" s="7" t="s">
        <v>40</v>
      </c>
      <c r="C80" s="7">
        <v>3600</v>
      </c>
      <c r="D80" s="7">
        <v>1300</v>
      </c>
      <c r="E80" s="7">
        <v>5.8</v>
      </c>
      <c r="F80" s="7">
        <v>1200</v>
      </c>
      <c r="G80" s="4">
        <v>33</v>
      </c>
      <c r="H80" s="7">
        <v>200</v>
      </c>
      <c r="J80" s="4" t="s">
        <v>38</v>
      </c>
      <c r="K80" s="4">
        <v>16</v>
      </c>
      <c r="L80" s="4">
        <v>13</v>
      </c>
      <c r="M80" s="7">
        <f t="shared" si="8"/>
        <v>132.728375</v>
      </c>
      <c r="N80" s="7">
        <f t="shared" si="10"/>
        <v>2123.654</v>
      </c>
      <c r="O80" s="4">
        <v>50</v>
      </c>
      <c r="P80" s="7">
        <f t="shared" si="7"/>
        <v>106182.7</v>
      </c>
      <c r="Q80" s="4">
        <v>0.97</v>
      </c>
      <c r="R80" s="7">
        <v>289.39999999999998</v>
      </c>
      <c r="S80" s="7">
        <f>R80/F80/H80*1000</f>
        <v>1.2058333333333333</v>
      </c>
      <c r="T80" s="7" t="s">
        <v>36</v>
      </c>
    </row>
    <row r="81" spans="1:20" s="7" customFormat="1" x14ac:dyDescent="0.2">
      <c r="A81" s="8"/>
      <c r="B81" s="7" t="s">
        <v>40</v>
      </c>
      <c r="C81" s="7">
        <v>3600</v>
      </c>
      <c r="D81" s="7">
        <v>1300</v>
      </c>
      <c r="E81" s="7">
        <v>5.8</v>
      </c>
      <c r="F81" s="7">
        <v>1200</v>
      </c>
      <c r="G81" s="4">
        <v>33</v>
      </c>
      <c r="H81" s="7">
        <v>200</v>
      </c>
      <c r="J81" s="4" t="s">
        <v>38</v>
      </c>
      <c r="K81" s="4">
        <v>20</v>
      </c>
      <c r="L81" s="4">
        <v>13</v>
      </c>
      <c r="M81" s="7">
        <f t="shared" si="8"/>
        <v>132.728375</v>
      </c>
      <c r="N81" s="7">
        <f t="shared" si="10"/>
        <v>2654.5675000000001</v>
      </c>
      <c r="O81" s="4">
        <v>50</v>
      </c>
      <c r="P81" s="7">
        <f t="shared" si="7"/>
        <v>132728.375</v>
      </c>
      <c r="Q81" s="4">
        <v>1.22</v>
      </c>
      <c r="R81" s="7">
        <v>301.3</v>
      </c>
      <c r="S81" s="7">
        <f>R81/F81/H81*1000</f>
        <v>1.2554166666666666</v>
      </c>
      <c r="T81" s="7" t="s">
        <v>36</v>
      </c>
    </row>
    <row r="82" spans="1:20" s="7" customFormat="1" x14ac:dyDescent="0.2">
      <c r="A82" s="8"/>
      <c r="B82" s="7" t="s">
        <v>40</v>
      </c>
      <c r="C82" s="7">
        <v>3600</v>
      </c>
      <c r="D82" s="7">
        <v>1300</v>
      </c>
      <c r="E82" s="7">
        <v>5.8</v>
      </c>
      <c r="F82" s="7">
        <v>1200</v>
      </c>
      <c r="G82" s="4">
        <v>33</v>
      </c>
      <c r="H82" s="7">
        <v>200</v>
      </c>
      <c r="J82" s="4" t="s">
        <v>38</v>
      </c>
      <c r="K82" s="4">
        <v>6</v>
      </c>
      <c r="L82" s="4">
        <v>13</v>
      </c>
      <c r="M82" s="7">
        <f t="shared" si="8"/>
        <v>132.728375</v>
      </c>
      <c r="N82" s="7">
        <f t="shared" si="10"/>
        <v>796.37024999999994</v>
      </c>
      <c r="O82" s="4">
        <v>50</v>
      </c>
      <c r="P82" s="7">
        <f t="shared" si="7"/>
        <v>39818.512499999997</v>
      </c>
      <c r="Q82" s="4">
        <v>0.37</v>
      </c>
      <c r="R82" s="7">
        <v>190.3</v>
      </c>
      <c r="S82" s="7">
        <f>R82/F82/H82*1000</f>
        <v>0.79291666666666683</v>
      </c>
      <c r="T82" s="7" t="s">
        <v>36</v>
      </c>
    </row>
    <row r="83" spans="1:20" s="7" customFormat="1" x14ac:dyDescent="0.2">
      <c r="A83" s="8"/>
      <c r="B83" s="7" t="s">
        <v>40</v>
      </c>
      <c r="C83" s="7">
        <v>3600</v>
      </c>
      <c r="D83" s="7">
        <v>1300</v>
      </c>
      <c r="E83" s="7">
        <v>5.8</v>
      </c>
      <c r="F83" s="7">
        <v>1200</v>
      </c>
      <c r="G83" s="4">
        <v>33</v>
      </c>
      <c r="H83" s="7">
        <v>200</v>
      </c>
      <c r="J83" s="4" t="s">
        <v>38</v>
      </c>
      <c r="K83" s="4">
        <v>8</v>
      </c>
      <c r="L83" s="4">
        <v>13</v>
      </c>
      <c r="M83" s="7">
        <f t="shared" si="8"/>
        <v>132.728375</v>
      </c>
      <c r="N83" s="7">
        <f t="shared" si="10"/>
        <v>1061.827</v>
      </c>
      <c r="O83" s="4">
        <v>50</v>
      </c>
      <c r="P83" s="7">
        <f t="shared" si="7"/>
        <v>53091.35</v>
      </c>
      <c r="Q83" s="4">
        <v>0.49</v>
      </c>
      <c r="R83" s="7">
        <v>250.8</v>
      </c>
      <c r="S83" s="7">
        <f>R83/F83/H83*1000</f>
        <v>1.0450000000000002</v>
      </c>
      <c r="T83" s="7" t="s">
        <v>36</v>
      </c>
    </row>
    <row r="84" spans="1:20" s="7" customFormat="1" x14ac:dyDescent="0.2">
      <c r="A84" s="8"/>
      <c r="B84" s="7" t="s">
        <v>40</v>
      </c>
      <c r="C84" s="7">
        <v>3600</v>
      </c>
      <c r="D84" s="7">
        <v>1300</v>
      </c>
      <c r="E84" s="7">
        <v>5.8</v>
      </c>
      <c r="F84" s="7">
        <v>1200</v>
      </c>
      <c r="G84" s="4">
        <v>33</v>
      </c>
      <c r="H84" s="7">
        <v>200</v>
      </c>
      <c r="J84" s="4" t="s">
        <v>38</v>
      </c>
      <c r="K84" s="4">
        <v>10</v>
      </c>
      <c r="L84" s="4">
        <v>13</v>
      </c>
      <c r="M84" s="7">
        <f t="shared" si="8"/>
        <v>132.728375</v>
      </c>
      <c r="N84" s="7">
        <f t="shared" si="10"/>
        <v>1327.2837500000001</v>
      </c>
      <c r="O84" s="4">
        <v>50</v>
      </c>
      <c r="P84" s="7">
        <f t="shared" si="7"/>
        <v>66364.1875</v>
      </c>
      <c r="Q84" s="4">
        <v>0.61</v>
      </c>
      <c r="R84" s="7">
        <v>300.60000000000002</v>
      </c>
      <c r="S84" s="7">
        <f>R84/F84/H84*1000</f>
        <v>1.2524999999999999</v>
      </c>
      <c r="T84" s="7" t="s">
        <v>37</v>
      </c>
    </row>
    <row r="85" spans="1:20" s="7" customFormat="1" x14ac:dyDescent="0.2">
      <c r="A85" s="8"/>
      <c r="B85" s="7" t="s">
        <v>40</v>
      </c>
      <c r="C85" s="7">
        <v>3600</v>
      </c>
      <c r="D85" s="7">
        <v>1300</v>
      </c>
      <c r="E85" s="7">
        <v>5.8</v>
      </c>
      <c r="F85" s="7">
        <v>1200</v>
      </c>
      <c r="G85" s="4">
        <v>33</v>
      </c>
      <c r="H85" s="7">
        <v>200</v>
      </c>
      <c r="J85" s="4" t="s">
        <v>38</v>
      </c>
      <c r="K85" s="4">
        <v>12</v>
      </c>
      <c r="L85" s="4">
        <v>13</v>
      </c>
      <c r="M85" s="7">
        <f t="shared" si="8"/>
        <v>132.728375</v>
      </c>
      <c r="N85" s="7">
        <f t="shared" si="10"/>
        <v>1592.7404999999999</v>
      </c>
      <c r="O85" s="4">
        <v>50</v>
      </c>
      <c r="P85" s="7">
        <f t="shared" si="7"/>
        <v>79637.024999999994</v>
      </c>
      <c r="Q85" s="4">
        <v>0.73</v>
      </c>
      <c r="R85" s="7">
        <v>317.89999999999998</v>
      </c>
      <c r="S85" s="7">
        <f>R85/F85/H85*1000</f>
        <v>1.3245833333333332</v>
      </c>
      <c r="T85" s="7" t="s">
        <v>36</v>
      </c>
    </row>
  </sheetData>
  <mergeCells count="9">
    <mergeCell ref="A52:A58"/>
    <mergeCell ref="A59:A66"/>
    <mergeCell ref="A67:A71"/>
    <mergeCell ref="A72:A85"/>
    <mergeCell ref="A2:A17"/>
    <mergeCell ref="A18:A26"/>
    <mergeCell ref="A27:A34"/>
    <mergeCell ref="A35:A41"/>
    <mergeCell ref="A42:A5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3BCA-8852-4FCF-8187-67B00DFDC3E4}">
  <dimension ref="A1:J51"/>
  <sheetViews>
    <sheetView workbookViewId="0">
      <selection activeCell="A3" sqref="A3"/>
    </sheetView>
  </sheetViews>
  <sheetFormatPr defaultRowHeight="14.25" x14ac:dyDescent="0.2"/>
  <cols>
    <col min="1" max="1" width="10.125" customWidth="1"/>
    <col min="2" max="2" width="13.375" bestFit="1" customWidth="1"/>
    <col min="3" max="3" width="11.125" bestFit="1" customWidth="1"/>
    <col min="4" max="4" width="8.5" bestFit="1" customWidth="1"/>
    <col min="5" max="5" width="13.5" bestFit="1" customWidth="1"/>
    <col min="6" max="6" width="14" bestFit="1" customWidth="1"/>
    <col min="7" max="7" width="7.5" bestFit="1" customWidth="1"/>
    <col min="8" max="8" width="17.5" bestFit="1" customWidth="1"/>
    <col min="9" max="9" width="12.875" bestFit="1" customWidth="1"/>
    <col min="10" max="10" width="12.75" bestFit="1" customWidth="1"/>
  </cols>
  <sheetData>
    <row r="1" spans="1:10" x14ac:dyDescent="0.2">
      <c r="A1" t="s">
        <v>41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">
      <c r="A2" s="2">
        <v>94</v>
      </c>
      <c r="B2" s="3">
        <v>56.921369571116117</v>
      </c>
      <c r="C2" s="3">
        <v>89.693081669151027</v>
      </c>
      <c r="D2" s="3">
        <v>88.762226447028695</v>
      </c>
      <c r="E2" s="3">
        <v>103.92906252344429</v>
      </c>
      <c r="F2" s="3">
        <v>82.857136424994707</v>
      </c>
      <c r="G2" s="3">
        <v>98.733585956760578</v>
      </c>
      <c r="H2" s="3">
        <v>83.565947180240599</v>
      </c>
      <c r="I2" s="3">
        <v>121.42137807763541</v>
      </c>
      <c r="J2" s="3">
        <v>124.01295098580231</v>
      </c>
    </row>
    <row r="3" spans="1:10" x14ac:dyDescent="0.2">
      <c r="A3" s="2">
        <v>106</v>
      </c>
      <c r="B3" s="3">
        <v>56.458317190966937</v>
      </c>
      <c r="C3" s="3">
        <v>89.376746054170226</v>
      </c>
      <c r="D3" s="3">
        <v>88.365863466889664</v>
      </c>
      <c r="E3" s="3">
        <v>103.46497284708371</v>
      </c>
      <c r="F3" s="3">
        <v>82.480123882572173</v>
      </c>
      <c r="G3" s="3">
        <v>98.292696403443827</v>
      </c>
      <c r="H3" s="3">
        <v>83.336895850315358</v>
      </c>
      <c r="I3" s="3">
        <v>120.9931409651267</v>
      </c>
      <c r="J3" s="3">
        <v>122.98795950751129</v>
      </c>
    </row>
    <row r="4" spans="1:10" x14ac:dyDescent="0.2">
      <c r="A4" s="2">
        <v>155</v>
      </c>
      <c r="B4" s="3">
        <v>69.568559023949575</v>
      </c>
      <c r="C4" s="3">
        <v>100.51842012250889</v>
      </c>
      <c r="D4" s="3">
        <v>101.34258014457065</v>
      </c>
      <c r="E4" s="3">
        <v>118.65902613898236</v>
      </c>
      <c r="F4" s="3">
        <v>94.823093006886324</v>
      </c>
      <c r="G4" s="3">
        <v>112.72718980021499</v>
      </c>
      <c r="H4" s="3">
        <v>93.672779365530047</v>
      </c>
      <c r="I4" s="3">
        <v>136.07610382350765</v>
      </c>
      <c r="J4" s="3">
        <v>148.83455128037374</v>
      </c>
    </row>
    <row r="5" spans="1:10" x14ac:dyDescent="0.2">
      <c r="A5" s="2">
        <v>163</v>
      </c>
      <c r="B5" s="3">
        <v>81.795509885188068</v>
      </c>
      <c r="C5" s="3">
        <v>122.36960087807971</v>
      </c>
      <c r="D5" s="3">
        <v>123.37292079532921</v>
      </c>
      <c r="E5" s="3">
        <v>144.45369964541857</v>
      </c>
      <c r="F5" s="3">
        <v>109.52459541672044</v>
      </c>
      <c r="G5" s="3">
        <v>137.23237200851008</v>
      </c>
      <c r="H5" s="3">
        <v>125.8216107397657</v>
      </c>
      <c r="I5" s="3">
        <v>165.65698598955606</v>
      </c>
      <c r="J5" s="3">
        <v>162.4483427397617</v>
      </c>
    </row>
    <row r="6" spans="1:10" x14ac:dyDescent="0.2">
      <c r="A6" s="2">
        <v>145</v>
      </c>
      <c r="B6" s="3">
        <v>83.257470007839487</v>
      </c>
      <c r="C6" s="3">
        <v>125.0508282146824</v>
      </c>
      <c r="D6" s="3">
        <v>126.07613176814695</v>
      </c>
      <c r="E6" s="3">
        <v>147.61880932611925</v>
      </c>
      <c r="F6" s="3">
        <v>110.71798467421503</v>
      </c>
      <c r="G6" s="3">
        <v>140.2392559458259</v>
      </c>
      <c r="H6" s="3">
        <v>129.97947663616489</v>
      </c>
      <c r="I6" s="3">
        <v>169.28667862683889</v>
      </c>
      <c r="J6" s="3">
        <v>164.337403897934</v>
      </c>
    </row>
    <row r="7" spans="1:10" x14ac:dyDescent="0.2">
      <c r="A7" s="2">
        <v>119</v>
      </c>
      <c r="B7" s="3">
        <v>71.163814356535013</v>
      </c>
      <c r="C7" s="3">
        <v>103.90546596867877</v>
      </c>
      <c r="D7" s="3">
        <v>105.71449432683431</v>
      </c>
      <c r="E7" s="3">
        <v>123.01622423156128</v>
      </c>
      <c r="F7" s="3">
        <v>98.663310303131581</v>
      </c>
      <c r="G7" s="3">
        <v>117.91330184352833</v>
      </c>
      <c r="H7" s="3">
        <v>100.96723361570363</v>
      </c>
      <c r="I7" s="3">
        <v>141.53230267738715</v>
      </c>
      <c r="J7" s="3">
        <v>152.72331754706536</v>
      </c>
    </row>
    <row r="8" spans="1:10" x14ac:dyDescent="0.2">
      <c r="A8" s="2">
        <v>121</v>
      </c>
      <c r="B8" s="3">
        <v>75.954370196105771</v>
      </c>
      <c r="C8" s="3">
        <v>108.7188378830307</v>
      </c>
      <c r="D8" s="3">
        <v>109.23538908994541</v>
      </c>
      <c r="E8" s="3">
        <v>128.47792590527729</v>
      </c>
      <c r="F8" s="3">
        <v>101.96827973512337</v>
      </c>
      <c r="G8" s="3">
        <v>121.26364028830446</v>
      </c>
      <c r="H8" s="3">
        <v>102.22475231442837</v>
      </c>
      <c r="I8" s="3">
        <v>146.51587362638278</v>
      </c>
      <c r="J8" s="3">
        <v>167.46071259681261</v>
      </c>
    </row>
    <row r="9" spans="1:10" x14ac:dyDescent="0.2">
      <c r="A9" s="2">
        <v>155</v>
      </c>
      <c r="B9" s="3">
        <v>69.568559023949575</v>
      </c>
      <c r="C9" s="3">
        <v>100.51842012250889</v>
      </c>
      <c r="D9" s="3">
        <v>101.34258014457065</v>
      </c>
      <c r="E9" s="3">
        <v>118.65902613898236</v>
      </c>
      <c r="F9" s="3">
        <v>94.823093006886324</v>
      </c>
      <c r="G9" s="3">
        <v>112.72718980021499</v>
      </c>
      <c r="H9" s="3">
        <v>93.672779365530047</v>
      </c>
      <c r="I9" s="3">
        <v>136.07610382350765</v>
      </c>
      <c r="J9" s="3">
        <v>148.83455128037374</v>
      </c>
    </row>
    <row r="10" spans="1:10" x14ac:dyDescent="0.2">
      <c r="A10" s="2">
        <v>167</v>
      </c>
      <c r="B10" s="3">
        <v>78.470489506896058</v>
      </c>
      <c r="C10" s="3">
        <v>111.28812595813322</v>
      </c>
      <c r="D10" s="3">
        <v>112.8779009190322</v>
      </c>
      <c r="E10" s="3">
        <v>132.16539165035732</v>
      </c>
      <c r="F10" s="3">
        <v>105.34974474946951</v>
      </c>
      <c r="G10" s="3">
        <v>125.55836394729197</v>
      </c>
      <c r="H10" s="3">
        <v>106.81739524202595</v>
      </c>
      <c r="I10" s="3">
        <v>150.65551730464816</v>
      </c>
      <c r="J10" s="3">
        <v>172.87150885004735</v>
      </c>
    </row>
    <row r="11" spans="1:10" x14ac:dyDescent="0.2">
      <c r="A11" s="2">
        <v>141</v>
      </c>
      <c r="B11" s="3">
        <v>79.204550871331094</v>
      </c>
      <c r="C11" s="3">
        <v>111.50456559412571</v>
      </c>
      <c r="D11" s="3">
        <v>114.37476245178506</v>
      </c>
      <c r="E11" s="3">
        <v>133.09387245140385</v>
      </c>
      <c r="F11" s="3">
        <v>106.74677622433654</v>
      </c>
      <c r="G11" s="3">
        <v>127.57291206032708</v>
      </c>
      <c r="H11" s="3">
        <v>109.1284245869612</v>
      </c>
      <c r="I11" s="3">
        <v>151.88323136278072</v>
      </c>
      <c r="J11" s="3">
        <v>170.71493702962309</v>
      </c>
    </row>
    <row r="12" spans="1:10" x14ac:dyDescent="0.2">
      <c r="A12" s="2">
        <v>159</v>
      </c>
      <c r="B12" s="3">
        <v>85.045762573947698</v>
      </c>
      <c r="C12" s="3">
        <v>117.89411491814838</v>
      </c>
      <c r="D12" s="3">
        <v>121.42290505591271</v>
      </c>
      <c r="E12" s="3">
        <v>141.29554712739295</v>
      </c>
      <c r="F12" s="3">
        <v>113.35091416942186</v>
      </c>
      <c r="G12" s="3">
        <v>135.43436730928605</v>
      </c>
      <c r="H12" s="3">
        <v>116.84793244473263</v>
      </c>
      <c r="I12" s="3">
        <v>160.58660053079223</v>
      </c>
      <c r="J12" s="3">
        <v>172.23053298372886</v>
      </c>
    </row>
    <row r="13" spans="1:10" x14ac:dyDescent="0.2">
      <c r="A13" s="2">
        <v>168</v>
      </c>
      <c r="B13" s="3">
        <v>94.4840416561605</v>
      </c>
      <c r="C13" s="3">
        <v>133.7916087680164</v>
      </c>
      <c r="D13" s="3">
        <v>137.79624046539996</v>
      </c>
      <c r="E13" s="3">
        <v>160.34861939508838</v>
      </c>
      <c r="F13" s="3">
        <v>122.70165140844685</v>
      </c>
      <c r="G13" s="3">
        <v>153.6970857058318</v>
      </c>
      <c r="H13" s="3">
        <v>141.26226209963218</v>
      </c>
      <c r="I13" s="3">
        <v>182.24098502726963</v>
      </c>
      <c r="J13" s="3">
        <v>186.32734459368842</v>
      </c>
    </row>
    <row r="14" spans="1:10" x14ac:dyDescent="0.2">
      <c r="A14" s="2">
        <v>137</v>
      </c>
      <c r="B14" s="3">
        <v>97.821736195824755</v>
      </c>
      <c r="C14" s="3">
        <v>139.52759241380923</v>
      </c>
      <c r="D14" s="3">
        <v>143.70391277040798</v>
      </c>
      <c r="E14" s="3">
        <v>167.2231690544057</v>
      </c>
      <c r="F14" s="3">
        <v>125.304313092321</v>
      </c>
      <c r="G14" s="3">
        <v>160.28646734293656</v>
      </c>
      <c r="H14" s="3">
        <v>150.44334923381007</v>
      </c>
      <c r="I14" s="3">
        <v>190.05411560649844</v>
      </c>
      <c r="J14" s="3">
        <v>190.53002186888764</v>
      </c>
    </row>
    <row r="15" spans="1:10" x14ac:dyDescent="0.2">
      <c r="A15" s="2">
        <v>192</v>
      </c>
      <c r="B15" s="3">
        <v>100.46416985864543</v>
      </c>
      <c r="C15" s="3">
        <v>128.75689902352386</v>
      </c>
      <c r="D15" s="3">
        <v>134.26479155395231</v>
      </c>
      <c r="E15" s="3">
        <v>156.51258246062673</v>
      </c>
      <c r="F15" s="3">
        <v>125.79905776307876</v>
      </c>
      <c r="G15" s="3">
        <v>149.64181167937821</v>
      </c>
      <c r="H15" s="3">
        <v>124.04939791133245</v>
      </c>
      <c r="I15" s="3">
        <v>175.07673047573749</v>
      </c>
      <c r="J15" s="3">
        <v>222.29761092537177</v>
      </c>
    </row>
    <row r="16" spans="1:10" x14ac:dyDescent="0.2">
      <c r="A16" s="2">
        <v>170</v>
      </c>
      <c r="B16" s="3">
        <v>105.5144162199659</v>
      </c>
      <c r="C16" s="3">
        <v>136.68157341744202</v>
      </c>
      <c r="D16" s="3">
        <v>141.44535717272333</v>
      </c>
      <c r="E16" s="3">
        <v>165.61418023947019</v>
      </c>
      <c r="F16" s="3">
        <v>132.02064709814627</v>
      </c>
      <c r="G16" s="3">
        <v>157.33502740528965</v>
      </c>
      <c r="H16" s="3">
        <v>133.48730819280007</v>
      </c>
      <c r="I16" s="3">
        <v>185.03171809151189</v>
      </c>
      <c r="J16" s="3">
        <v>244.49382940715046</v>
      </c>
    </row>
    <row r="17" spans="1:10" x14ac:dyDescent="0.2">
      <c r="A17" s="2">
        <v>213</v>
      </c>
      <c r="B17" s="3">
        <v>105.92742133298805</v>
      </c>
      <c r="C17" s="3">
        <v>138.21939324081032</v>
      </c>
      <c r="D17" s="3">
        <v>141.85825232131975</v>
      </c>
      <c r="E17" s="3">
        <v>166.84752242502177</v>
      </c>
      <c r="F17" s="3">
        <v>132.39778975740529</v>
      </c>
      <c r="G17" s="3">
        <v>157.47870927850641</v>
      </c>
      <c r="H17" s="3">
        <v>133.84003988024497</v>
      </c>
      <c r="I17" s="3">
        <v>186.27254988297466</v>
      </c>
      <c r="J17" s="3">
        <v>230.52204602877015</v>
      </c>
    </row>
    <row r="18" spans="1:10" x14ac:dyDescent="0.2">
      <c r="A18" s="2">
        <v>119</v>
      </c>
      <c r="B18" s="3">
        <v>71.163814356535013</v>
      </c>
      <c r="C18" s="3">
        <v>103.90546596867877</v>
      </c>
      <c r="D18" s="3">
        <v>105.71449432683431</v>
      </c>
      <c r="E18" s="3">
        <v>123.01622423156128</v>
      </c>
      <c r="F18" s="3">
        <v>98.663310303131581</v>
      </c>
      <c r="G18" s="3">
        <v>117.91330184352833</v>
      </c>
      <c r="H18" s="3">
        <v>100.96723361570363</v>
      </c>
      <c r="I18" s="3">
        <v>141.53230267738715</v>
      </c>
      <c r="J18" s="3">
        <v>152.72331754706536</v>
      </c>
    </row>
    <row r="19" spans="1:10" x14ac:dyDescent="0.2">
      <c r="A19" s="2">
        <v>141</v>
      </c>
      <c r="B19" s="3">
        <v>79.204550871331094</v>
      </c>
      <c r="C19" s="3">
        <v>111.50456559412571</v>
      </c>
      <c r="D19" s="3">
        <v>114.37476245178506</v>
      </c>
      <c r="E19" s="3">
        <v>133.09387245140385</v>
      </c>
      <c r="F19" s="3">
        <v>106.74677622433654</v>
      </c>
      <c r="G19" s="3">
        <v>127.57291206032708</v>
      </c>
      <c r="H19" s="3">
        <v>109.1284245869612</v>
      </c>
      <c r="I19" s="3">
        <v>151.88323136278072</v>
      </c>
      <c r="J19" s="3">
        <v>170.71493702962309</v>
      </c>
    </row>
    <row r="20" spans="1:10" x14ac:dyDescent="0.2">
      <c r="A20" s="2">
        <v>159</v>
      </c>
      <c r="B20" s="3">
        <v>85.045762573947698</v>
      </c>
      <c r="C20" s="3">
        <v>117.89411491814838</v>
      </c>
      <c r="D20" s="3">
        <v>121.42290505591271</v>
      </c>
      <c r="E20" s="3">
        <v>141.29554712739295</v>
      </c>
      <c r="F20" s="3">
        <v>113.35091416942186</v>
      </c>
      <c r="G20" s="3">
        <v>135.43436730928605</v>
      </c>
      <c r="H20" s="3">
        <v>116.84793244473263</v>
      </c>
      <c r="I20" s="3">
        <v>160.58660053079223</v>
      </c>
      <c r="J20" s="3">
        <v>172.23053298372886</v>
      </c>
    </row>
    <row r="21" spans="1:10" x14ac:dyDescent="0.2">
      <c r="A21" s="2">
        <v>157</v>
      </c>
      <c r="B21" s="3">
        <v>86.500810140077661</v>
      </c>
      <c r="C21" s="3">
        <v>116.80817088287431</v>
      </c>
      <c r="D21" s="3">
        <v>120.79700267697153</v>
      </c>
      <c r="E21" s="3">
        <v>140.56720662985578</v>
      </c>
      <c r="F21" s="3">
        <v>112.88774576252359</v>
      </c>
      <c r="G21" s="3">
        <v>134.73623961541941</v>
      </c>
      <c r="H21" s="3">
        <v>113.39372349111126</v>
      </c>
      <c r="I21" s="3">
        <v>159.10740828177771</v>
      </c>
      <c r="J21" s="3">
        <v>186.3809305279743</v>
      </c>
    </row>
    <row r="22" spans="1:10" x14ac:dyDescent="0.2">
      <c r="A22" s="2">
        <v>173</v>
      </c>
      <c r="B22" s="3">
        <v>91.135284838227989</v>
      </c>
      <c r="C22" s="3">
        <v>121.60930342868629</v>
      </c>
      <c r="D22" s="3">
        <v>125.78353649965887</v>
      </c>
      <c r="E22" s="3">
        <v>146.62597618290204</v>
      </c>
      <c r="F22" s="3">
        <v>117.50177966583293</v>
      </c>
      <c r="G22" s="3">
        <v>140.18921910502957</v>
      </c>
      <c r="H22" s="3">
        <v>118.14774900002392</v>
      </c>
      <c r="I22" s="3">
        <v>165.35781306628419</v>
      </c>
      <c r="J22" s="3">
        <v>198.9056200121295</v>
      </c>
    </row>
    <row r="23" spans="1:10" x14ac:dyDescent="0.2">
      <c r="A23" s="2">
        <v>186</v>
      </c>
      <c r="B23" s="3">
        <v>99.175113304610534</v>
      </c>
      <c r="C23" s="3">
        <v>130.20217549039424</v>
      </c>
      <c r="D23" s="3">
        <v>135.25807632717019</v>
      </c>
      <c r="E23" s="3">
        <v>157.67045537113347</v>
      </c>
      <c r="F23" s="3">
        <v>126.24563378321352</v>
      </c>
      <c r="G23" s="3">
        <v>150.74885494260135</v>
      </c>
      <c r="H23" s="3">
        <v>128.40347034949005</v>
      </c>
      <c r="I23" s="3">
        <v>177.04193995478039</v>
      </c>
      <c r="J23" s="3">
        <v>221.28812894136553</v>
      </c>
    </row>
    <row r="24" spans="1:10" x14ac:dyDescent="0.2">
      <c r="A24" s="2">
        <v>192</v>
      </c>
      <c r="B24" s="3">
        <v>100.16381490709188</v>
      </c>
      <c r="C24" s="3">
        <v>128.47593410499724</v>
      </c>
      <c r="D24" s="3">
        <v>133.94662734831027</v>
      </c>
      <c r="E24" s="3">
        <v>156.14169817372456</v>
      </c>
      <c r="F24" s="3">
        <v>125.50095461317279</v>
      </c>
      <c r="G24" s="3">
        <v>149.28720890084807</v>
      </c>
      <c r="H24" s="3">
        <v>123.75544089035895</v>
      </c>
      <c r="I24" s="3">
        <v>174.69468943803716</v>
      </c>
      <c r="J24" s="3">
        <v>221.52369541237826</v>
      </c>
    </row>
    <row r="25" spans="1:10" x14ac:dyDescent="0.2">
      <c r="A25" s="2">
        <v>168</v>
      </c>
      <c r="B25" s="3">
        <v>94.4840416561605</v>
      </c>
      <c r="C25" s="3">
        <v>133.7916087680164</v>
      </c>
      <c r="D25" s="3">
        <v>137.79624046539996</v>
      </c>
      <c r="E25" s="3">
        <v>160.34861939508838</v>
      </c>
      <c r="F25" s="3">
        <v>122.70165140844685</v>
      </c>
      <c r="G25" s="3">
        <v>153.6970857058318</v>
      </c>
      <c r="H25" s="3">
        <v>141.26226209963218</v>
      </c>
      <c r="I25" s="3">
        <v>182.24098502726963</v>
      </c>
      <c r="J25" s="3">
        <v>186.32734459368842</v>
      </c>
    </row>
    <row r="26" spans="1:10" x14ac:dyDescent="0.2">
      <c r="A26" s="2">
        <v>137</v>
      </c>
      <c r="B26" s="3">
        <v>97.821736195824755</v>
      </c>
      <c r="C26" s="3">
        <v>139.52759241380923</v>
      </c>
      <c r="D26" s="3">
        <v>143.70391277040798</v>
      </c>
      <c r="E26" s="3">
        <v>167.2231690544057</v>
      </c>
      <c r="F26" s="3">
        <v>125.304313092321</v>
      </c>
      <c r="G26" s="3">
        <v>160.28646734293656</v>
      </c>
      <c r="H26" s="3">
        <v>150.44334923381007</v>
      </c>
      <c r="I26" s="3">
        <v>190.05411560649844</v>
      </c>
      <c r="J26" s="3">
        <v>190.53002186888764</v>
      </c>
    </row>
    <row r="27" spans="1:10" x14ac:dyDescent="0.2">
      <c r="A27" s="2">
        <v>140</v>
      </c>
      <c r="B27" s="3">
        <v>65.817815282992257</v>
      </c>
      <c r="C27" s="3">
        <v>88.856211609343831</v>
      </c>
      <c r="D27" s="3">
        <v>100.66056248808007</v>
      </c>
      <c r="E27" s="3">
        <v>113.11734374753445</v>
      </c>
      <c r="F27" s="3">
        <v>94.440770388166257</v>
      </c>
      <c r="G27" s="3">
        <v>111.99075410382129</v>
      </c>
      <c r="H27" s="3">
        <v>87.165743456483568</v>
      </c>
      <c r="I27" s="3">
        <v>137.28871062996132</v>
      </c>
      <c r="J27" s="3">
        <v>132.89231856319478</v>
      </c>
    </row>
    <row r="28" spans="1:10" x14ac:dyDescent="0.2">
      <c r="A28" s="2">
        <v>167</v>
      </c>
      <c r="B28" s="3">
        <v>89.843939219789164</v>
      </c>
      <c r="C28" s="3">
        <v>109.27079249455737</v>
      </c>
      <c r="D28" s="3">
        <v>126.82436157299037</v>
      </c>
      <c r="E28" s="3">
        <v>142.5189224957129</v>
      </c>
      <c r="F28" s="3">
        <v>118.98791458033908</v>
      </c>
      <c r="G28" s="3">
        <v>141.09950848900513</v>
      </c>
      <c r="H28" s="3">
        <v>109.82195501055995</v>
      </c>
      <c r="I28" s="3">
        <v>168.83058527237858</v>
      </c>
      <c r="J28" s="3">
        <v>185.01331545963691</v>
      </c>
    </row>
    <row r="29" spans="1:10" x14ac:dyDescent="0.2">
      <c r="A29" s="2">
        <v>190</v>
      </c>
      <c r="B29" s="3">
        <v>107.09869045002519</v>
      </c>
      <c r="C29" s="3">
        <v>123.59114218977622</v>
      </c>
      <c r="D29" s="3">
        <v>145.17765299533551</v>
      </c>
      <c r="E29" s="3">
        <v>163.14344041419693</v>
      </c>
      <c r="F29" s="3">
        <v>136.20716051183342</v>
      </c>
      <c r="G29" s="3">
        <v>161.5186169846389</v>
      </c>
      <c r="H29" s="3">
        <v>125.71475604563921</v>
      </c>
      <c r="I29" s="3">
        <v>190.95647056299131</v>
      </c>
      <c r="J29" s="3">
        <v>227.42422257475633</v>
      </c>
    </row>
    <row r="30" spans="1:10" x14ac:dyDescent="0.2">
      <c r="A30" s="2">
        <v>113</v>
      </c>
      <c r="B30" s="3">
        <v>57.479650328645434</v>
      </c>
      <c r="C30" s="3">
        <v>80.224584291123193</v>
      </c>
      <c r="D30" s="3">
        <v>90.78607431323455</v>
      </c>
      <c r="E30" s="3">
        <v>102.48995796803453</v>
      </c>
      <c r="F30" s="3">
        <v>85.176424477803593</v>
      </c>
      <c r="G30" s="3">
        <v>100.79909122544916</v>
      </c>
      <c r="H30" s="3">
        <v>78.135683055756047</v>
      </c>
      <c r="I30" s="3">
        <v>125.66988155688729</v>
      </c>
      <c r="J30" s="3">
        <v>118.62873213616497</v>
      </c>
    </row>
    <row r="31" spans="1:10" x14ac:dyDescent="0.2">
      <c r="A31" s="2">
        <v>142</v>
      </c>
      <c r="B31" s="3">
        <v>77.184298795934296</v>
      </c>
      <c r="C31" s="3">
        <v>96.224191747905465</v>
      </c>
      <c r="D31" s="3">
        <v>112.10437676201181</v>
      </c>
      <c r="E31" s="3">
        <v>127.14934257991166</v>
      </c>
      <c r="F31" s="3">
        <v>105.1774741129958</v>
      </c>
      <c r="G31" s="3">
        <v>124.2103999803128</v>
      </c>
      <c r="H31" s="3">
        <v>95.884140829107253</v>
      </c>
      <c r="I31" s="3">
        <v>151.9055220618913</v>
      </c>
      <c r="J31" s="3">
        <v>160.32419398235248</v>
      </c>
    </row>
    <row r="32" spans="1:10" x14ac:dyDescent="0.2">
      <c r="A32" s="2">
        <v>163</v>
      </c>
      <c r="B32" s="3">
        <v>78.791774511998312</v>
      </c>
      <c r="C32" s="3">
        <v>98.468408867671783</v>
      </c>
      <c r="D32" s="3">
        <v>114.38328606456447</v>
      </c>
      <c r="E32" s="3">
        <v>129.12925544676747</v>
      </c>
      <c r="F32" s="3">
        <v>107.31557015436567</v>
      </c>
      <c r="G32" s="3">
        <v>126.99889684521702</v>
      </c>
      <c r="H32" s="3">
        <v>98.444791829861202</v>
      </c>
      <c r="I32" s="3">
        <v>154.24839391613651</v>
      </c>
      <c r="J32" s="3">
        <v>163.68921699407363</v>
      </c>
    </row>
    <row r="33" spans="1:10" x14ac:dyDescent="0.2">
      <c r="A33" s="2">
        <v>163</v>
      </c>
      <c r="B33" s="3">
        <v>90.363387274304245</v>
      </c>
      <c r="C33" s="3">
        <v>107.13271031734008</v>
      </c>
      <c r="D33" s="3">
        <v>126.25731671666726</v>
      </c>
      <c r="E33" s="3">
        <v>143.20167758042351</v>
      </c>
      <c r="F33" s="3">
        <v>118.45590729017376</v>
      </c>
      <c r="G33" s="3">
        <v>139.89169970687982</v>
      </c>
      <c r="H33" s="3">
        <v>107.98931037693829</v>
      </c>
      <c r="I33" s="3">
        <v>169.12639113973285</v>
      </c>
      <c r="J33" s="3">
        <v>191.20789200381452</v>
      </c>
    </row>
    <row r="34" spans="1:10" x14ac:dyDescent="0.2">
      <c r="A34" s="2">
        <v>168</v>
      </c>
      <c r="B34" s="3">
        <v>94.223729096431143</v>
      </c>
      <c r="C34" s="3">
        <v>111.26602392444897</v>
      </c>
      <c r="D34" s="3">
        <v>130.93617666815899</v>
      </c>
      <c r="E34" s="3">
        <v>147.81609784022211</v>
      </c>
      <c r="F34" s="3">
        <v>122.84566160343367</v>
      </c>
      <c r="G34" s="3">
        <v>145.37744600728132</v>
      </c>
      <c r="H34" s="3">
        <v>112.69115531284002</v>
      </c>
      <c r="I34" s="3">
        <v>174.29555006667056</v>
      </c>
      <c r="J34" s="3">
        <v>200.11584510676997</v>
      </c>
    </row>
    <row r="35" spans="1:10" x14ac:dyDescent="0.2">
      <c r="A35" s="2">
        <v>51</v>
      </c>
      <c r="B35" s="3">
        <v>23.865751036396791</v>
      </c>
      <c r="C35" s="3">
        <v>44.409218183356309</v>
      </c>
      <c r="D35" s="3">
        <v>38.044075279515852</v>
      </c>
      <c r="E35" s="3">
        <v>42.496795960704972</v>
      </c>
      <c r="F35" s="3">
        <v>35.613578136705726</v>
      </c>
      <c r="G35" s="3">
        <v>44.917499520194383</v>
      </c>
      <c r="H35" s="3">
        <v>47.118016587772452</v>
      </c>
      <c r="I35" s="3">
        <v>45.94428827261423</v>
      </c>
      <c r="J35" s="3">
        <v>52.954538162061866</v>
      </c>
    </row>
    <row r="36" spans="1:10" x14ac:dyDescent="0.2">
      <c r="A36" s="2">
        <v>58.4</v>
      </c>
      <c r="B36" s="3">
        <v>24.408176473822383</v>
      </c>
      <c r="C36" s="3">
        <v>45.66803048930376</v>
      </c>
      <c r="D36" s="3">
        <v>39.122462877615796</v>
      </c>
      <c r="E36" s="3">
        <v>43.701399236939245</v>
      </c>
      <c r="F36" s="3">
        <v>36.540412839957405</v>
      </c>
      <c r="G36" s="3">
        <v>46.190719438522073</v>
      </c>
      <c r="H36" s="3">
        <v>49.135539951031134</v>
      </c>
      <c r="I36" s="3">
        <v>47.246613281507081</v>
      </c>
      <c r="J36" s="3">
        <v>54.991197717849005</v>
      </c>
    </row>
    <row r="37" spans="1:10" x14ac:dyDescent="0.2">
      <c r="A37" s="2">
        <v>53.5</v>
      </c>
      <c r="B37" s="3">
        <v>22.972810514015588</v>
      </c>
      <c r="C37" s="3">
        <v>42.356008473980296</v>
      </c>
      <c r="D37" s="3">
        <v>36.285150715124203</v>
      </c>
      <c r="E37" s="3">
        <v>40.532004918367015</v>
      </c>
      <c r="F37" s="3">
        <v>34.19482059137146</v>
      </c>
      <c r="G37" s="3">
        <v>42.840790001126116</v>
      </c>
      <c r="H37" s="3">
        <v>43.888410178159475</v>
      </c>
      <c r="I37" s="3">
        <v>43.820106343037814</v>
      </c>
      <c r="J37" s="3">
        <v>49.683916954682971</v>
      </c>
    </row>
    <row r="38" spans="1:10" x14ac:dyDescent="0.2">
      <c r="A38" s="2">
        <v>65.05</v>
      </c>
      <c r="B38" s="3">
        <v>22.989622495893613</v>
      </c>
      <c r="C38" s="3">
        <v>42.39444407444806</v>
      </c>
      <c r="D38" s="3">
        <v>36.318077367234395</v>
      </c>
      <c r="E38" s="3">
        <v>40.56878534228624</v>
      </c>
      <c r="F38" s="3">
        <v>34.220453801526212</v>
      </c>
      <c r="G38" s="3">
        <v>42.879665512476961</v>
      </c>
      <c r="H38" s="3">
        <v>43.948162976664918</v>
      </c>
      <c r="I38" s="3">
        <v>43.859870526692895</v>
      </c>
      <c r="J38" s="3">
        <v>49.744553969404002</v>
      </c>
    </row>
    <row r="39" spans="1:10" x14ac:dyDescent="0.2">
      <c r="A39" s="2">
        <v>42.15</v>
      </c>
      <c r="B39" s="3">
        <v>17.239548369289327</v>
      </c>
      <c r="C39" s="3">
        <v>36.408102110506185</v>
      </c>
      <c r="D39" s="3">
        <v>30.195602559930425</v>
      </c>
      <c r="E39" s="3">
        <v>33.729729306650505</v>
      </c>
      <c r="F39" s="3">
        <v>28.266515699279172</v>
      </c>
      <c r="G39" s="3">
        <v>35.651042995068835</v>
      </c>
      <c r="H39" s="3">
        <v>37.397594549042537</v>
      </c>
      <c r="I39" s="3">
        <v>37.66660182841909</v>
      </c>
      <c r="J39" s="3">
        <v>39.382397856720992</v>
      </c>
    </row>
    <row r="40" spans="1:10" x14ac:dyDescent="0.2">
      <c r="A40" s="2">
        <v>58.7</v>
      </c>
      <c r="B40" s="3">
        <v>28.755463903968174</v>
      </c>
      <c r="C40" s="3">
        <v>50.021813453349836</v>
      </c>
      <c r="D40" s="3">
        <v>43.549594817232929</v>
      </c>
      <c r="E40" s="3">
        <v>48.646687599101895</v>
      </c>
      <c r="F40" s="3">
        <v>40.767370121372998</v>
      </c>
      <c r="G40" s="3">
        <v>51.417701440648962</v>
      </c>
      <c r="H40" s="3">
        <v>53.936664668887289</v>
      </c>
      <c r="I40" s="3">
        <v>51.75089117153076</v>
      </c>
      <c r="J40" s="3">
        <v>63.753928768415918</v>
      </c>
    </row>
    <row r="41" spans="1:10" x14ac:dyDescent="0.2">
      <c r="A41" s="2">
        <v>63</v>
      </c>
      <c r="B41" s="3">
        <v>29.661300887492747</v>
      </c>
      <c r="C41" s="3">
        <v>61.265586532717748</v>
      </c>
      <c r="D41" s="3">
        <v>46.555278297549407</v>
      </c>
      <c r="E41" s="3">
        <v>50.015085743967255</v>
      </c>
      <c r="F41" s="3">
        <v>44.200312032046959</v>
      </c>
      <c r="G41" s="3">
        <v>57.07900077921061</v>
      </c>
      <c r="H41" s="3">
        <v>62.769680762126328</v>
      </c>
      <c r="I41" s="3">
        <v>54.048084909168296</v>
      </c>
      <c r="J41" s="3">
        <v>65.802303454830181</v>
      </c>
    </row>
    <row r="42" spans="1:10" x14ac:dyDescent="0.2">
      <c r="A42" s="2">
        <v>65.25</v>
      </c>
      <c r="B42" s="3">
        <v>26.872203094808135</v>
      </c>
      <c r="C42" s="3">
        <v>47.885787981709022</v>
      </c>
      <c r="D42" s="3">
        <v>41.510103495019564</v>
      </c>
      <c r="E42" s="3">
        <v>46.402851735540018</v>
      </c>
      <c r="F42" s="3">
        <v>38.836797089348792</v>
      </c>
      <c r="G42" s="3">
        <v>48.993602910693212</v>
      </c>
      <c r="H42" s="3">
        <v>51.50066846636777</v>
      </c>
      <c r="I42" s="3">
        <v>49.651244505328592</v>
      </c>
      <c r="J42" s="3">
        <v>59.606496968990129</v>
      </c>
    </row>
    <row r="43" spans="1:10" x14ac:dyDescent="0.2">
      <c r="A43" s="2">
        <v>52.4</v>
      </c>
      <c r="B43" s="3">
        <v>23.957627141663227</v>
      </c>
      <c r="C43" s="3">
        <v>44.637181574324295</v>
      </c>
      <c r="D43" s="3">
        <v>38.237418343074999</v>
      </c>
      <c r="E43" s="3">
        <v>42.712768110431902</v>
      </c>
      <c r="F43" s="3">
        <v>35.774877255816087</v>
      </c>
      <c r="G43" s="3">
        <v>45.145773880941604</v>
      </c>
      <c r="H43" s="3">
        <v>47.487198107872125</v>
      </c>
      <c r="I43" s="3">
        <v>46.180131554227358</v>
      </c>
      <c r="J43" s="3">
        <v>53.318971357715398</v>
      </c>
    </row>
    <row r="44" spans="1:10" x14ac:dyDescent="0.2">
      <c r="A44" s="2">
        <v>62.5</v>
      </c>
      <c r="B44" s="3">
        <v>41.43515237519145</v>
      </c>
      <c r="C44" s="3">
        <v>63.981729493114464</v>
      </c>
      <c r="D44" s="3">
        <v>57.322378801762845</v>
      </c>
      <c r="E44" s="3">
        <v>64.078901778353895</v>
      </c>
      <c r="F44" s="3">
        <v>53.630740633300441</v>
      </c>
      <c r="G44" s="3">
        <v>67.656537287286383</v>
      </c>
      <c r="H44" s="3">
        <v>71.118609153247192</v>
      </c>
      <c r="I44" s="3">
        <v>66.340612295026972</v>
      </c>
      <c r="J44" s="3">
        <v>93.156135240455569</v>
      </c>
    </row>
    <row r="45" spans="1:10" x14ac:dyDescent="0.2">
      <c r="A45" s="2">
        <v>49</v>
      </c>
      <c r="B45" s="3">
        <v>25.785227568489383</v>
      </c>
      <c r="C45" s="3">
        <v>46.998250582240232</v>
      </c>
      <c r="D45" s="3">
        <v>40.38482092868297</v>
      </c>
      <c r="E45" s="3">
        <v>45.045017779546683</v>
      </c>
      <c r="F45" s="3">
        <v>37.783984231336056</v>
      </c>
      <c r="G45" s="3">
        <v>47.712414173161342</v>
      </c>
      <c r="H45" s="3">
        <v>50.252794436203445</v>
      </c>
      <c r="I45" s="3">
        <v>48.408143858773677</v>
      </c>
      <c r="J45" s="3">
        <v>57.313579540028513</v>
      </c>
    </row>
    <row r="46" spans="1:10" x14ac:dyDescent="0.2">
      <c r="A46" s="2">
        <v>62.5</v>
      </c>
      <c r="B46" s="3">
        <v>26.055341281676892</v>
      </c>
      <c r="C46" s="3">
        <v>46.229103906664442</v>
      </c>
      <c r="D46" s="3">
        <v>40.390866605393853</v>
      </c>
      <c r="E46" s="3">
        <v>45.354930235258308</v>
      </c>
      <c r="F46" s="3">
        <v>37.789640558348509</v>
      </c>
      <c r="G46" s="3">
        <v>47.57752591259451</v>
      </c>
      <c r="H46" s="3">
        <v>49.812872396671082</v>
      </c>
      <c r="I46" s="3">
        <v>48.583679796984093</v>
      </c>
      <c r="J46" s="3">
        <v>57.879528742052202</v>
      </c>
    </row>
    <row r="47" spans="1:10" x14ac:dyDescent="0.2">
      <c r="A47" s="2">
        <v>32.049999999999997</v>
      </c>
      <c r="B47" s="3">
        <v>19.465263431433225</v>
      </c>
      <c r="C47" s="3">
        <v>39.168649306988158</v>
      </c>
      <c r="D47" s="3">
        <v>32.946590977651439</v>
      </c>
      <c r="E47" s="3">
        <v>36.829967829660305</v>
      </c>
      <c r="F47" s="3">
        <v>30.824786277353891</v>
      </c>
      <c r="G47" s="3">
        <v>38.886248400073313</v>
      </c>
      <c r="H47" s="3">
        <v>40.876107650288844</v>
      </c>
      <c r="I47" s="3">
        <v>40.612721762615344</v>
      </c>
      <c r="J47" s="3">
        <v>43.91132694165961</v>
      </c>
    </row>
    <row r="48" spans="1:10" x14ac:dyDescent="0.2">
      <c r="A48" s="2">
        <v>59.6</v>
      </c>
      <c r="B48" s="3">
        <v>32.309273046336671</v>
      </c>
      <c r="C48" s="3">
        <v>54.000656313595101</v>
      </c>
      <c r="D48" s="3">
        <v>47.517206680611714</v>
      </c>
      <c r="E48" s="3">
        <v>53.118005276763235</v>
      </c>
      <c r="F48" s="3">
        <v>44.457034763331343</v>
      </c>
      <c r="G48" s="3">
        <v>56.083675045872894</v>
      </c>
      <c r="H48" s="3">
        <v>58.953548694468452</v>
      </c>
      <c r="I48" s="3">
        <v>55.991556223292534</v>
      </c>
      <c r="J48" s="3">
        <v>72.151754793390595</v>
      </c>
    </row>
    <row r="49" spans="1:10" x14ac:dyDescent="0.2">
      <c r="A49" s="2">
        <v>55</v>
      </c>
      <c r="B49" s="3">
        <v>26.872203094808135</v>
      </c>
      <c r="C49" s="3">
        <v>42.830350833297537</v>
      </c>
      <c r="D49" s="3">
        <v>41.510103495019564</v>
      </c>
      <c r="E49" s="3">
        <v>46.402851735540018</v>
      </c>
      <c r="F49" s="3">
        <v>38.836797089348792</v>
      </c>
      <c r="G49" s="3">
        <v>47.793804055271657</v>
      </c>
      <c r="H49" s="3">
        <v>44.381930681509537</v>
      </c>
      <c r="I49" s="3">
        <v>52.499799133995651</v>
      </c>
      <c r="J49" s="3">
        <v>58.198937137017452</v>
      </c>
    </row>
    <row r="50" spans="1:10" x14ac:dyDescent="0.2">
      <c r="A50" s="2">
        <v>62.55</v>
      </c>
      <c r="B50" s="3">
        <v>26.872203094808135</v>
      </c>
      <c r="C50" s="3">
        <v>55.29374516319411</v>
      </c>
      <c r="D50" s="3">
        <v>41.510103495019564</v>
      </c>
      <c r="E50" s="3">
        <v>46.402851735540018</v>
      </c>
      <c r="F50" s="3">
        <v>38.836797089348792</v>
      </c>
      <c r="G50" s="3">
        <v>50.584965693460795</v>
      </c>
      <c r="H50" s="3">
        <v>62.38861680990513</v>
      </c>
      <c r="I50" s="3">
        <v>46.205689397125212</v>
      </c>
      <c r="J50" s="3">
        <v>61.014056800962784</v>
      </c>
    </row>
    <row r="51" spans="1:10" x14ac:dyDescent="0.2">
      <c r="A51" s="2">
        <v>68.05</v>
      </c>
      <c r="B51" s="3">
        <v>28.447584050289944</v>
      </c>
      <c r="C51" s="3">
        <v>51.374624445874588</v>
      </c>
      <c r="D51" s="3">
        <v>44.534423837414856</v>
      </c>
      <c r="E51" s="3">
        <v>49.783645244421145</v>
      </c>
      <c r="F51" s="3">
        <v>41.586156915446992</v>
      </c>
      <c r="G51" s="3">
        <v>52.563151947057939</v>
      </c>
      <c r="H51" s="3">
        <v>57.230283711050021</v>
      </c>
      <c r="I51" s="3">
        <v>53.268707632124325</v>
      </c>
      <c r="J51" s="3">
        <v>60.326579222023447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zhoulingzhu</dc:creator>
  <cp:lastModifiedBy>JL Zhang</cp:lastModifiedBy>
  <dcterms:created xsi:type="dcterms:W3CDTF">2015-06-05T18:17:20Z</dcterms:created>
  <dcterms:modified xsi:type="dcterms:W3CDTF">2026-09-22T07:08:36Z</dcterms:modified>
</cp:coreProperties>
</file>