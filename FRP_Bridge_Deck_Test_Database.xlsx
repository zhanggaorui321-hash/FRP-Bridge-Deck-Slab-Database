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郑愚老师项目\FRP reinforcing bars in concrete bridge deck slabs\20260706版本\新建文件夹\20260721\修订版本\202609014\20260919\20260922\"/>
    </mc:Choice>
  </mc:AlternateContent>
  <xr:revisionPtr revIDLastSave="0" documentId="13_ncr:1_{88B0A305-1115-4F75-8A59-957F7A54F6B9}" xr6:coauthVersionLast="47" xr6:coauthVersionMax="47" xr10:uidLastSave="{00000000-0000-0000-0000-000000000000}"/>
  <bookViews>
    <workbookView xWindow="28680" yWindow="-120" windowWidth="29040" windowHeight="15720" firstSheet="2" activeTab="7" xr2:uid="{00000000-000D-0000-FFFF-FFFF00000000}"/>
  </bookViews>
  <sheets>
    <sheet name="Study Register" sheetId="1" r:id="rId1"/>
    <sheet name="Model Benchmark" sheetId="2" r:id="rId2"/>
    <sheet name="Service Benchmark" sheetId="3" r:id="rId3"/>
    <sheet name="Specimens" sheetId="4" r:id="rId4"/>
    <sheet name="Extended Properties" sheetId="5" r:id="rId5"/>
    <sheet name="Test Results" sheetId="6" r:id="rId6"/>
    <sheet name="Model Audit" sheetId="7" r:id="rId7"/>
    <sheet name="Reference Audit" sheetId="8" r:id="rId8"/>
  </sheets>
  <calcPr calcId="191029"/>
</workbook>
</file>

<file path=xl/calcChain.xml><?xml version="1.0" encoding="utf-8"?>
<calcChain xmlns="http://schemas.openxmlformats.org/spreadsheetml/2006/main">
  <c r="F53" i="3" l="1"/>
  <c r="E53" i="3"/>
  <c r="D53" i="3"/>
  <c r="C53" i="3"/>
  <c r="F52" i="3"/>
  <c r="E52" i="3"/>
  <c r="D52" i="3"/>
  <c r="C52" i="3"/>
  <c r="F51" i="3"/>
  <c r="E51" i="3"/>
  <c r="D51" i="3"/>
  <c r="C51" i="3"/>
  <c r="F50" i="3"/>
  <c r="E50" i="3"/>
  <c r="D50" i="3"/>
  <c r="C50" i="3"/>
  <c r="F49" i="3"/>
  <c r="E49" i="3"/>
  <c r="D49" i="3"/>
  <c r="C49" i="3"/>
  <c r="F48" i="3"/>
  <c r="E48" i="3"/>
  <c r="D48" i="3"/>
  <c r="C48" i="3"/>
  <c r="F20" i="2"/>
  <c r="D20" i="2"/>
  <c r="C20" i="2"/>
  <c r="F19" i="2"/>
  <c r="D19" i="2"/>
  <c r="C19" i="2"/>
  <c r="F18" i="2"/>
  <c r="E18" i="2"/>
  <c r="D18" i="2"/>
  <c r="C18" i="2"/>
  <c r="F17" i="2"/>
  <c r="E17" i="2"/>
  <c r="D17" i="2"/>
  <c r="C17" i="2"/>
  <c r="I12" i="2"/>
  <c r="H12" i="2"/>
  <c r="I11" i="2"/>
  <c r="H11" i="2"/>
  <c r="I10" i="2"/>
  <c r="H10" i="2"/>
  <c r="I9" i="2"/>
  <c r="H9" i="2"/>
  <c r="I8" i="2"/>
  <c r="H8" i="2"/>
  <c r="I7" i="2"/>
  <c r="H7" i="2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</calcChain>
</file>

<file path=xl/sharedStrings.xml><?xml version="1.0" encoding="utf-8"?>
<sst xmlns="http://schemas.openxmlformats.org/spreadsheetml/2006/main" count="5501" uniqueCount="1418">
  <si>
    <t>FRP bridge-deck and slab evidence register</t>
  </si>
  <si>
    <t>31 publication records. Reported counts include controls and related reports; they are not additive independent-test counts.</t>
  </si>
  <si>
    <t>Reference ID</t>
  </si>
  <si>
    <t>Citation</t>
  </si>
  <si>
    <t>Evidence class</t>
  </si>
  <si>
    <t>Response topic</t>
  </si>
  <si>
    <t>Reported units n</t>
  </si>
  <si>
    <t>Count definition</t>
  </si>
  <si>
    <t>Named records extracted n</t>
  </si>
  <si>
    <t>Test scope</t>
  </si>
  <si>
    <t>Geometry / scale</t>
  </si>
  <si>
    <t>Support / restraint</t>
  </si>
  <si>
    <t>Concrete</t>
  </si>
  <si>
    <t>Reinforcement</t>
  </si>
  <si>
    <t>Loading protocol</t>
  </si>
  <si>
    <t>Reported findings</t>
  </si>
  <si>
    <t>FRP units n</t>
  </si>
  <si>
    <t>Steel controls n</t>
  </si>
  <si>
    <t>Related program group</t>
  </si>
  <si>
    <t>Overlap and independence</t>
  </si>
  <si>
    <t>Unrecovered data / limitations</t>
  </si>
  <si>
    <t>Online publication date</t>
  </si>
  <si>
    <t>Issue year</t>
  </si>
  <si>
    <t>Original row IDs</t>
  </si>
  <si>
    <t>Source verification</t>
  </si>
  <si>
    <t>Source locator</t>
  </si>
  <si>
    <t>Source URL</t>
  </si>
  <si>
    <t>DOI</t>
  </si>
  <si>
    <t>R002</t>
  </si>
  <si>
    <t>Abdul-Salam, B. (2014)</t>
  </si>
  <si>
    <t>Slab experimental report</t>
  </si>
  <si>
    <t>One-way shear</t>
  </si>
  <si>
    <t>Publication-reported specimens/units; do not sum across related reports</t>
  </si>
  <si>
    <t>Simply supported shear-critical one-way slabs</t>
  </si>
  <si>
    <t>length 4000 mm; width 1000 mm; thickness 200 mm; slab span 3500 mm</t>
  </si>
  <si>
    <t>Simply supported</t>
  </si>
  <si>
    <t>Not recovered</t>
  </si>
  <si>
    <t>GFRP; CFRP; Steel</t>
  </si>
  <si>
    <t>Two equal full-width line loads; four-point bending</t>
  </si>
  <si>
    <t>Extracted failure loads 188–426 kN. Reported outcomes: Diagonal tension, Shear compression with FRP shearing-off, Diagonal tension with FRP shearing-off, Shear bond, Shear compression, Shear, Flexural compression</t>
  </si>
  <si>
    <t>Abdul-Salam thesis / 2013 / 2016</t>
  </si>
  <si>
    <t>Thesis chapters4,5 and6 overlap:22 unique slabs; 9CFRP in chapter4 and reused subset in chapter5, not additive. Conference2013 and article2016 may report same experimental family. Table3-3 and5-1 have inconsistent Ef and some ratios; no pooled model validation until resolved.</t>
  </si>
  <si>
    <t>See source and specimen-specific notes</t>
  </si>
  <si>
    <t>58</t>
  </si>
  <si>
    <t>Author-deposited full doctoral thesis Tables3-3,4-1,5-4</t>
  </si>
  <si>
    <t>Table3-3 p70, Table4-1 p83, Table5-4 p133</t>
  </si>
  <si>
    <t>https://www.researchgate.net/publication/260165629_BEHAVIOUR_OF_SHEAR_CRITICAL_FRP_REINFORCED_CONCRETE_ONE-WAY_SLABS</t>
  </si>
  <si>
    <t>R003</t>
  </si>
  <si>
    <t>Abdul-Salam, B., Farghaly, A.S., &amp; Benmokrane, B. (2016)</t>
  </si>
  <si>
    <t>Count not recovered</t>
  </si>
  <si>
    <t>One-way slab experiments and mechanisms; potential thesis/conference overlap.</t>
  </si>
  <si>
    <t>See cited source; no quantitative result extracted</t>
  </si>
  <si>
    <t>Same experimental family as Abdul-Salam2014; do not count as new tests absent specimen identity comparison.</t>
  </si>
  <si>
    <t>56</t>
  </si>
  <si>
    <t>Publisher bibliographic match; full text not retrieved</t>
  </si>
  <si>
    <t>Manuscript bibliography</t>
  </si>
  <si>
    <t>https://www.sciencedirect.com/science/article/pii/S0950061816316191</t>
  </si>
  <si>
    <t>10.1016/j.conbuildmat.2016.10.015</t>
  </si>
  <si>
    <t>R004</t>
  </si>
  <si>
    <t>Abdul-Salam, B., Farghaly, A.S., Benmokrane, B. (2013)</t>
  </si>
  <si>
    <t>CFRP one-way slab conference report; likely subset of 2014 thesis/2016 article. Specimen crosswalk required.</t>
  </si>
  <si>
    <t>CFRP slab report likely subset of Abdul-Salam2014; do not count as independent program.</t>
  </si>
  <si>
    <t>Cited conference paper; exact independent count not verified</t>
  </si>
  <si>
    <t>R010</t>
  </si>
  <si>
    <t>Aflakisamani, M., Mousa, S., Mohamed, H. M., Ahmed, E. A., &amp; Benmokrane, B. (2023)</t>
  </si>
  <si>
    <t>Serviceability / punching</t>
  </si>
  <si>
    <t>LWSCC edge-restrained3 and unrestrained1 full-scale panels</t>
  </si>
  <si>
    <t>3000×2500×200mm; concentrated CL-625 wheel simulation</t>
  </si>
  <si>
    <t>Full-scale GFRP lightweight SCC bridge-deck laboratory experiments; 2022 conference report in legacy workbook may duplicate.</t>
  </si>
  <si>
    <t>36</t>
  </si>
  <si>
    <t>Primary author/publisher abstract verified; specimen table unavailable</t>
  </si>
  <si>
    <t>https://ascelibrary.org/doi/10.1061/JBENF2.BEENG-5722</t>
  </si>
  <si>
    <t>10.1061/JBENF2.BEENG-5722</t>
  </si>
  <si>
    <t>R012</t>
  </si>
  <si>
    <t>Al-Sunna, R., Pilakoutas, K., Hajirasouliha, I., &amp; Guadagnini, M. (2012)</t>
  </si>
  <si>
    <t>Deflection</t>
  </si>
  <si>
    <t>Slab subset 14 of 28 total beam/slab members</t>
  </si>
  <si>
    <t>Simply supported one-way slab strips plus separate beam comparator group</t>
  </si>
  <si>
    <t>length 2350 mm; width 500 mm; thickness 120 mm; slab span 2100 mm</t>
  </si>
  <si>
    <t>Four-point; one service-load cycle then loading to failure</t>
  </si>
  <si>
    <t>Reported outcomes: Rebar rupture, Almost balanced, Concrete crushing, Reinforcement yielding</t>
  </si>
  <si>
    <t>Alsunna thesis / Al-Sunna 2012</t>
  </si>
  <si>
    <t>Each slab series has a/b replicate; Table5 model ratios are series-level, not 12 independent specimen ratios. Al-Sunna2006 thesis likely same experimental family; do not add counts.</t>
  </si>
  <si>
    <t>Institutional fulltext PDF; Tables1,3–5 and Fig2 verified</t>
  </si>
  <si>
    <t>Tables1,3,4; manuscript pp.14–15; Fig2 p.17</t>
  </si>
  <si>
    <t>https://eprints.whiterose.ac.uk/id/eprint/85515/1/Deflection%20behaviour%20of%20FRP%20reinforced%20concrete%20beams%20and%20slabs-%20An%20experimental%20investigation.pdf</t>
  </si>
  <si>
    <t>10.1016/j.compositesb.2012.03.007</t>
  </si>
  <si>
    <t>R015</t>
  </si>
  <si>
    <t>Ali, Y. M. S., Wang, X., Guo, H., Liu, S., Li, D., Wu, Z., &amp; Moussa, A. M. A. (2024)</t>
  </si>
  <si>
    <t>Static / fatigue</t>
  </si>
  <si>
    <t>BFRP, steel and hybrid bridge-deck slab experiments; possible overlap with Ali 2023 static report in legacy workbook.</t>
  </si>
  <si>
    <t>Hybrid BFRP/steel</t>
  </si>
  <si>
    <t>Static and fatigue; effective reinforcement ratio, FRP/steel area ratio, upper fatigue load varied</t>
  </si>
  <si>
    <t>The abstract reports a regression-based two-million-cycle estimate at an upper fatigue load of 0.34 of static ultimate capacity. This is a model estimate, NOT an observed specimen runout.</t>
  </si>
  <si>
    <t>Do not infer specimen count or copy the twelve-beam count shown in an unrelated citing-paper preview.</t>
  </si>
  <si>
    <t>Qualitative fatigue evidence; no individual numerical validation rows</t>
  </si>
  <si>
    <t>1</t>
  </si>
  <si>
    <t>Author paper abstract; full text not obtained</t>
  </si>
  <si>
    <t>Abstract</t>
  </si>
  <si>
    <t>https://www.sciencedirect.com/science/article/abs/pii/S2352012424008592</t>
  </si>
  <si>
    <t>10.1016/j.istruc.2024.106707</t>
  </si>
  <si>
    <t>R018</t>
  </si>
  <si>
    <t>Alsunna, R. (2006)</t>
  </si>
  <si>
    <t>Thesis involving FRP flexural members; possible overlap with Al-Sunna 2012 mixed beam/slab article.</t>
  </si>
  <si>
    <t>Additional specimen geometry, materials and response tables need primary-source extraction</t>
  </si>
  <si>
    <t>Bibliography/title audit; primary details not recovered</t>
  </si>
  <si>
    <t>R022</t>
  </si>
  <si>
    <t>Benmokrane, B., El-Salakawy, E., El-Ragaby, A., &amp; Lackey, T. (2006)</t>
  </si>
  <si>
    <t>Field report</t>
  </si>
  <si>
    <t>Field / serviceability</t>
  </si>
  <si>
    <t>field bridge</t>
  </si>
  <si>
    <t>Morristown Bridge field design and proof testing; failure strength not directly observed.</t>
  </si>
  <si>
    <t>thickness 230 mm</t>
  </si>
  <si>
    <t>GFRP</t>
  </si>
  <si>
    <t>Two calibrated three-axle trucks; 4 single-truck paths plus one paired path; 7 stations, 35 readings/gauge; ambient traffic dynamic response</t>
  </si>
  <si>
    <t>Named units and measured response records extracted; see Test Results</t>
  </si>
  <si>
    <t>Field serviceability, construction, loading distribution; no ultimate/fatigue-life validation</t>
  </si>
  <si>
    <t>16</t>
  </si>
  <si>
    <t>User-supplied primary full PDF and author full text</t>
  </si>
  <si>
    <t>Tables1-2, pp.218-219; field observations pp.220-225</t>
  </si>
  <si>
    <t>https://ascelibrary.org/doi/10.1061/%28ASCE%291084-0702%282006%2911%3A2%28217%29</t>
  </si>
  <si>
    <t>10.1061/(ASCE)1084-0702(2006)11:2(217)</t>
  </si>
  <si>
    <t>R023</t>
  </si>
  <si>
    <t>Berg, A. C., Bank, L. C., Oliva, M. G., &amp; Russell, J. S. (2006)</t>
  </si>
  <si>
    <t>Field / construction / cost</t>
  </si>
  <si>
    <t>FRP-reinforced two-span US151 overpass project</t>
  </si>
  <si>
    <t>Wisconsin bridge construction and cost report; distinguish bar-reinforced deck from formwork system and cost assumptions.</t>
  </si>
  <si>
    <t>FRP SIP forms, deformed FRP bars, prefabricated pultruded FRP grid</t>
  </si>
  <si>
    <t>Hybrid structural form/grid/bar system differs from internally bar-reinforced solid slabs. No field test values verified from this paper.</t>
  </si>
  <si>
    <t>Construction/cost evidence; do not enter into bar-only slab ultimate-load or fatigue validation</t>
  </si>
  <si>
    <t>15</t>
  </si>
  <si>
    <t>Original abstract on paper record</t>
  </si>
  <si>
    <t>https://www.sciencedirect.com/science/article/pii/S0950061805001145</t>
  </si>
  <si>
    <t>10.1016/j.conbuildmat.2005.02.007</t>
  </si>
  <si>
    <t>R025</t>
  </si>
  <si>
    <t>Bouguerra, K., Ahmed, E. A., El-Gamal, S., &amp; Benmokrane, B. (2011)</t>
  </si>
  <si>
    <t>Punching / CMA</t>
  </si>
  <si>
    <t>Edge-restrained full-scale bridge deck panels</t>
  </si>
  <si>
    <t>length 3000 mm; width 2500 mm; thickness 150–200 mm; slab span 2000 mm</t>
  </si>
  <si>
    <t>Edge restrained</t>
  </si>
  <si>
    <t>GFRP; Steel; CFRP</t>
  </si>
  <si>
    <t>Single central patch; monotonic</t>
  </si>
  <si>
    <t>Extracted failure loads 362–732 kN. Reported outcomes: Punching shear</t>
  </si>
  <si>
    <t>G-175-N used repeatedly as comparator across four groups; count once.</t>
  </si>
  <si>
    <t>46</t>
  </si>
  <si>
    <t>Tables 1–3; journal pp. 3957–3959</t>
  </si>
  <si>
    <t>https://doi.org/10.1016/j.conbuildmat.2011.04.028</t>
  </si>
  <si>
    <t>10.1016/j.conbuildmat.2011.04.028</t>
  </si>
  <si>
    <t>R027</t>
  </si>
  <si>
    <t>Carvelli, V., Pisani, M. A., &amp; Poggi, C. (2010)</t>
  </si>
  <si>
    <t>Fatigue / moving load</t>
  </si>
  <si>
    <t>full-scale deck specimens</t>
  </si>
  <si>
    <t>GFRP concrete deck slab fatigue experiments; inspect relation to 2006/other moving-load reports.</t>
  </si>
  <si>
    <t>Moving concentrated loads simulated by two hydraulic jacks; subsequent static loading to failure</t>
  </si>
  <si>
    <t>Not a continuously rolling tyre test. No individual cycles or residual capacities obtained; do not treat subsequent static failure as fatigue failure.</t>
  </si>
  <si>
    <t>Qualitative moving-load and residual-static evidence</t>
  </si>
  <si>
    <t>4</t>
  </si>
  <si>
    <t>Original abstract on author paper record</t>
  </si>
  <si>
    <t>https://www.sciencedirect.com/science/article/pii/S1359836810000910</t>
  </si>
  <si>
    <t>10.1016/j.compositesb.2010.06.006</t>
  </si>
  <si>
    <t>R034</t>
  </si>
  <si>
    <t>El-Gamal, S. (2005)</t>
  </si>
  <si>
    <t>Thesis; potential overlap with El-Gamal et al. 2005 and other Sherbrooke laboratory papers.</t>
  </si>
  <si>
    <t>El-Gamal thesis / 2005 article</t>
  </si>
  <si>
    <t>R035</t>
  </si>
  <si>
    <t>El-Gamal, S., El-Salakawy, E., &amp; Benmokrane, B. (2005)</t>
  </si>
  <si>
    <t>Restrained bridge deck panels</t>
  </si>
  <si>
    <t>3000 × 2500 × 200 mm; span2000mm; patch600×250mm</t>
  </si>
  <si>
    <t>Potential overlapping thesis El-Gamal2005; legacy G-S2/C-S2 in Elgabbas2016 not new tests.</t>
  </si>
  <si>
    <t>26</t>
  </si>
  <si>
    <t>Primary institution abstract verified; two specimen response rows re-reported in Elgabbas2016</t>
  </si>
  <si>
    <t>https://squ.elsevierpure.com/en/publications/behavior-of-concrete-bridge-deck-slabs-reinforced-with-fiber-rein/</t>
  </si>
  <si>
    <t>R036</t>
  </si>
  <si>
    <t>El-Ragaby, A., &amp; El-Salakawy, E. F. (2011)</t>
  </si>
  <si>
    <t>Environmental-fatigue</t>
  </si>
  <si>
    <t>large-scale GFRP deck slabs</t>
  </si>
  <si>
    <t>Deck experiments under severe environmental and repeated-load conditions; independent programs/specimens need source-level audit.</t>
  </si>
  <si>
    <t>GFRP bars</t>
  </si>
  <si>
    <t>3,000,000 sinusoidal fatigue cycles combined with 100 freeze-thaw cycles or one month continuous cold exposure</t>
  </si>
  <si>
    <t>Do not label 3M as failure life. Abstract reports satisfactory post-conditioning behavior.</t>
  </si>
  <si>
    <t>Environmental-fatigue program evidence; exact specimen geometry, load, temperature, identities unavailable</t>
  </si>
  <si>
    <t>Publisher primary abstract</t>
  </si>
  <si>
    <t>Publisher abstract; original article pp.1-20</t>
  </si>
  <si>
    <t>https://www.concrete.org/publications/internationalconcreteabstractsportal.aspx?i=51682472&amp;m=details</t>
  </si>
  <si>
    <t>10.14359/51682472</t>
  </si>
  <si>
    <t>R038</t>
  </si>
  <si>
    <t>El-Ragaby, A., El-Salakawy, E., &amp; Benmokrane, B. (2003)</t>
  </si>
  <si>
    <t>Wotton field</t>
  </si>
  <si>
    <t>Primary Wotton Bridge report; proof/truck loading, not failure test.</t>
  </si>
  <si>
    <t>GFRP/CFRP per manuscript citation</t>
  </si>
  <si>
    <t>Do not populate dimensions, proof-load or measured response from unidentified Wotton reports.</t>
  </si>
  <si>
    <t>Field source register only</t>
  </si>
  <si>
    <t>Bibliographic record in supplied manuscript only; primary text not recovered</t>
  </si>
  <si>
    <t>R039</t>
  </si>
  <si>
    <t>El-Ragaby, A., El-Salakawy, E., &amp; Benmokrane, B. (2007b)</t>
  </si>
  <si>
    <t>Fatigue life</t>
  </si>
  <si>
    <t>full-scale slabs reported by reproduced original abstract</t>
  </si>
  <si>
    <t>Primary GFRP deck fatigue experimental program; companion 2007a reuses evidence.</t>
  </si>
  <si>
    <t>GFRP and steel</t>
  </si>
  <si>
    <t>Concentrated, accelerated variable-amplitude cyclic loading until failure</t>
  </si>
  <si>
    <t>El-Ragaby 2007 companions</t>
  </si>
  <si>
    <t>Five is publication-level count, not additive to six in 2007a. Recovered primary full text required to resolve identity.</t>
  </si>
  <si>
    <t>Program count requires primary full-text confirmation; no numerical validation rows</t>
  </si>
  <si>
    <t>7</t>
  </si>
  <si>
    <t>Original abstract reproduced in linked-paper preview; primary page inaccessible</t>
  </si>
  <si>
    <t>Original abstract reproduced in References preview of Noel and Soudki (2014)</t>
  </si>
  <si>
    <t>https://ascelibrary.org/doi/10.1061/%28ASCE%291090-0268%282007%2911%3A3%28258%29</t>
  </si>
  <si>
    <t>10.1061/(ASCE)1090-0268(2007)11:3(258)</t>
  </si>
  <si>
    <t>R040</t>
  </si>
  <si>
    <t>El-Salakawy, E., &amp; Benmokrane, B. (2004)</t>
  </si>
  <si>
    <t>Serviceability</t>
  </si>
  <si>
    <t>One-way slab strips under four-point bending</t>
  </si>
  <si>
    <t>3100 × 1000 × 200 mm; simply supported clear span 2500 mm; shear span 1000 mm</t>
  </si>
  <si>
    <t>El-Salakawy2004 / El-Sayed2005b possible overlap</t>
  </si>
  <si>
    <t>Ten full-size one-way slabs 3100x1000x200 mm per ACI abstract; distinguish one-way test idealization from restrained two-way deck.</t>
  </si>
  <si>
    <t>Primary publisher abstract verified; specimen tables unavailable</t>
  </si>
  <si>
    <t>https://www.concrete.org/publications/internationalconcreteabstractsportal.aspx?ID=13395&amp;m=details</t>
  </si>
  <si>
    <t>10.14359/13395</t>
  </si>
  <si>
    <t>R041</t>
  </si>
  <si>
    <t>El-Salakawy, E., Benmokrane, B., El-Ragaby, A., &amp; Nadeau, D. (2005)</t>
  </si>
  <si>
    <t>Cookshire-Eaton field</t>
  </si>
  <si>
    <t>field bridge with GFRP and galvanized-steel spans</t>
  </si>
  <si>
    <t>Primary field bridge investigation; proof-load/service response.</t>
  </si>
  <si>
    <t>thickness 200 mm</t>
  </si>
  <si>
    <t>GFRP; galvanized steel</t>
  </si>
  <si>
    <t>Field serviceability only; same bridge paired spans</t>
  </si>
  <si>
    <t>17</t>
  </si>
  <si>
    <t>Author-uploaded full text</t>
  </si>
  <si>
    <t>Table1/p.471; Fig2/pp.471-472; field results pp.473-475</t>
  </si>
  <si>
    <t>https://ascelibrary.org/doi/10.1061/%28ASCE%291090-0268%282005%299%3A6%28470%29</t>
  </si>
  <si>
    <t>10.1061/(ASCE)1090-0268(2005)9:6(470)</t>
  </si>
  <si>
    <t>R043</t>
  </si>
  <si>
    <t>El-Sayed, A., El-Salakawy, E., &amp; Benmokrane, B. (2005b)</t>
  </si>
  <si>
    <t>One-way slabs</t>
  </si>
  <si>
    <t>3100×1000×200mm</t>
  </si>
  <si>
    <t>Very likely reanalysis of8FRP slabs from El-Salakawy2004(10=8FRP+2steel):identical geometry/type counts and shared authors. Flag possible overlap; do not assume18 independent slabs.</t>
  </si>
  <si>
    <t>Primary author abstract verified; full table unavailable</t>
  </si>
  <si>
    <t>https://ascelibrary.com/doi/abs/10.1061/%28ASCE%291090-0268%282005%299%3A2%28147%29</t>
  </si>
  <si>
    <t>10.1061/(ASCE)1090-0268(2005)9:2(147)</t>
  </si>
  <si>
    <t>R044</t>
  </si>
  <si>
    <t>Elgabbas, F., Ahmed, E., &amp; Benmokrane, B. (2016)</t>
  </si>
  <si>
    <t>Restrained bridge-deck panels plus one unrestrained comparator</t>
  </si>
  <si>
    <t>length 3000 mm; width 2500 mm; thickness 200 mm; slab span 2000 mm</t>
  </si>
  <si>
    <t>Edge restrained; Unrestrained</t>
  </si>
  <si>
    <t>Steel; BFRP</t>
  </si>
  <si>
    <t>Extracted failure loads 436.4–739.6 kN. Reported outcomes: Punching shear</t>
  </si>
  <si>
    <t>G-S2 and C-S2 in Table 3 are El-Gamal2005 legacy comparison specimens; not additional Elgabbas2016 specimens.</t>
  </si>
  <si>
    <t>31</t>
  </si>
  <si>
    <t>User-supplied original journal PDF; also author full text</t>
  </si>
  <si>
    <t>Tables 1–3; PDF pp. 4, 5, 9</t>
  </si>
  <si>
    <t>https://doi.org/10.1061/(ASCE)BE.1943-5592.0000892</t>
  </si>
  <si>
    <t>10.1061/(ASCE)BE.1943-5592.0000892</t>
  </si>
  <si>
    <t>R048</t>
  </si>
  <si>
    <t>Gao, C., Tauskela, L., &amp; Fam, A. (2024)</t>
  </si>
  <si>
    <t>Rolling / pulsating fatigue</t>
  </si>
  <si>
    <t>physical bridge deck with two compared GFRP test sections</t>
  </si>
  <si>
    <t>Direct full-scale GFRP deck comparison under different fatigue loading paths.</t>
  </si>
  <si>
    <t>length 15240 mm; width 3890 mm</t>
  </si>
  <si>
    <t>Rolling load; Fixed-point pulsating load</t>
  </si>
  <si>
    <t>Reported outcomes: No fatigue failure reported in accessible abstract; stopped cycle count, not Nf</t>
  </si>
  <si>
    <t>Stiffness-loss percentages reported in abstract (71% rolling and 54% pulsating) should not be mislabeled as residual k/k0. R/P equivalence is metric- and protocol-specific, not universal traffic conversion.</t>
  </si>
  <si>
    <t>Same-bridge paired loading-mode evidence, not two independent bridge specimens</t>
  </si>
  <si>
    <t>https://ascelibrary.org/doi/10.1061/JCCOF2.CCENG-4608</t>
  </si>
  <si>
    <t>10.1061/JCCOF2.CCENG-4608</t>
  </si>
  <si>
    <t>R055</t>
  </si>
  <si>
    <t>Ju, M., Oh, H., &amp; Sim, J. (2017)</t>
  </si>
  <si>
    <t>Variable-amplitude fatigue</t>
  </si>
  <si>
    <t>CFRP-reinforced deck slab cyclic experiments; distinguish tested variable amplitude from validated Miner law.</t>
  </si>
  <si>
    <t>CFRP</t>
  </si>
  <si>
    <t>Variable-amplitude cyclic loading; equivalent-cycle indirect fatigue assessment</t>
  </si>
  <si>
    <t>Abstract explicitly states failure cycle count unknown. Equivalent cycles and observed fatigue failure life must not be conflated.</t>
  </si>
  <si>
    <t>Qualitative variable-amplitude/indirect-life evidence</t>
  </si>
  <si>
    <t>https://link.springer.com/article/10.1007/s12205-016-1494-1</t>
  </si>
  <si>
    <t>10.1007/s12205-016-1494-1</t>
  </si>
  <si>
    <t>R058</t>
  </si>
  <si>
    <t>Mahroug, M., Ashour, A. F., &amp; Lam, D. (2014)</t>
  </si>
  <si>
    <t>Serviceability / continuous slabs</t>
  </si>
  <si>
    <t>Continuous BFRP concrete slabs; generic slab laboratory evidence, not full bridge-system restraint.</t>
  </si>
  <si>
    <t>R060</t>
  </si>
  <si>
    <t>Michaluk, C. R., Rizkalla, S. H., Tadros, G., and Benmokrane, B. (1998)</t>
  </si>
  <si>
    <t>One-way flexure</t>
  </si>
  <si>
    <t>Simply supported one-way slabs</t>
  </si>
  <si>
    <t>3500×1000×150/200mm; clear span3000mm; cover38mm</t>
  </si>
  <si>
    <t>Steel; GFRP; CFRP</t>
  </si>
  <si>
    <t>Four-point bending; full-width line supports</t>
  </si>
  <si>
    <t>Extracted failure loads 47.1–259.1 kN. Reported outcomes: Yielding then concrete crushing, FRP rupture, Shear of GFRP at major crack, Bond slip</t>
  </si>
  <si>
    <t>Eight one-way slabs with glass, carbon and conventional steel reinforcement per ACI primary abstract; correct pages353–365 (manuscript145–157 is wrong).</t>
  </si>
  <si>
    <t>Full original article deposited on Academia; Tables1–4 pp355,358</t>
  </si>
  <si>
    <t>Tables1–2 p355; Tables3–4 p358</t>
  </si>
  <si>
    <t>https://www.concrete.org/publications/internationalconcreteabstractsportal.aspx?id=552&amp;m=details</t>
  </si>
  <si>
    <t>10.14359/552</t>
  </si>
  <si>
    <t>R066</t>
  </si>
  <si>
    <t>Rossini, M., Cadenazzi, T., Nolan, S., &amp; Nanni, A. (2019)</t>
  </si>
  <si>
    <t>Halls River field</t>
  </si>
  <si>
    <t>Field demonstration / construction report; no deck punching failure tests.</t>
  </si>
  <si>
    <t>R073</t>
  </si>
  <si>
    <t>Zheng, Y., Sun, C., Deng, T., et al. (2014)</t>
  </si>
  <si>
    <t>One-third-scale restrained GFRP deck experiments and arching model; same investigator group as 2012, independence must be reported cautiously.</t>
  </si>
  <si>
    <t>one-third</t>
  </si>
  <si>
    <t>concrete</t>
  </si>
  <si>
    <t>static concentrated loading</t>
  </si>
  <si>
    <t>Higher lateral restraint stiffness increased punching strength and reduced FRP strain; transition from flexural punching to shear punching reported.</t>
  </si>
  <si>
    <t>Zheng 2012 / 2014 potential reuse</t>
  </si>
  <si>
    <t>Combines current tests and literature tests for model assessment. Check specimen overlap with Zheng2012 and later NLFEA papers before aggregation.</t>
  </si>
  <si>
    <t>Exact primary specimen identifiers, counts, dimensions, material values and individual loads require full text.</t>
  </si>
  <si>
    <t>Primary publisher abstract; full text restricted</t>
  </si>
  <si>
    <t>Publisher abstract</t>
  </si>
  <si>
    <t>https://link.springer.com/article/10.1007/s13369-014-1450-7</t>
  </si>
  <si>
    <t>10.1007/s13369-014-1450-7</t>
  </si>
  <si>
    <t>R074</t>
  </si>
  <si>
    <t>Zheng, Y., Taylor, S. E., Zhou, L., Grattan, S., Sonebi, M., &amp; Liao, J. (2024)</t>
  </si>
  <si>
    <t>Thompson Bridge field</t>
  </si>
  <si>
    <t>Six proof-loaded panels: four BFRP and two steel. All sustained 400 kN without failure. Separate from SCC simulation and lab programs.</t>
  </si>
  <si>
    <t>thickness 160 mm; slab span 1400–1600 mm</t>
  </si>
  <si>
    <t>Integral skew bridge; W-beam support and continuity; restraint stiffness not quantified</t>
  </si>
  <si>
    <t>SCC</t>
  </si>
  <si>
    <t>BFRP/steel</t>
  </si>
  <si>
    <t>static central circular 300-mm bearing contact; service tests then maximum 400 kN</t>
  </si>
  <si>
    <t>No observed ultimate failure through 400 kN. Recorded strength is a right-censored lower bound, not an ultimate load.</t>
  </si>
  <si>
    <t>Thompson Bridge field panels</t>
  </si>
  <si>
    <t>One Thompson Bridge, six loading locations. Do not count each panel as independent bridge or duplicate field data from Zhou2018 FE paper.</t>
  </si>
  <si>
    <t>Individual effective depths, clear cover and bar spacings not verified in extracted material; preserve as unknown.</t>
  </si>
  <si>
    <t>11</t>
  </si>
  <si>
    <t>Primary open-access published PDF text; tables extracted</t>
  </si>
  <si>
    <t>Sections 3.1-3.4; Tables 2-3, printed pp.4-6 (PDF pp.5-7)</t>
  </si>
  <si>
    <t>https://pureadmin.qub.ac.uk/ws/portalfiles/portal/559489876/1-s2.0-S2214509524001943-main.pdf</t>
  </si>
  <si>
    <t>10.1016/j.cscm.2024.e03043</t>
  </si>
  <si>
    <t>R075</t>
  </si>
  <si>
    <t>Zheng, Y., Yu, G.Y., &amp; Pan, Y. (2012)</t>
  </si>
  <si>
    <t>GFRP deck laboratory experiments and ultimate-strength model; audit reuse in 2014 and numerical followups.</t>
  </si>
  <si>
    <t>static bridge-deck tests</t>
  </si>
  <si>
    <t>Potential companion/reanalysis linkage with Zheng2014 and Zheng2013 numerical papers; unresolved.</t>
  </si>
  <si>
    <t>Exact specimen IDs/count and individual geometries, strengths, reinforcement properties and loads unavailable.</t>
  </si>
  <si>
    <t>39</t>
  </si>
  <si>
    <t>Primary publisher metadata/section preview; full text unavailable</t>
  </si>
  <si>
    <t>Publisher indexed abstract and section preview</t>
  </si>
  <si>
    <t>https://www.sciencedirect.com/science/article/abs/pii/S0950061811005228</t>
  </si>
  <si>
    <t>10.1016/j.conbuildmat.2011.09.002</t>
  </si>
  <si>
    <t>R077</t>
  </si>
  <si>
    <t>Zheng, Y., Zhou, L., Taylor, S.E., &amp; Ma, H. (2019)</t>
  </si>
  <si>
    <t>BFRP HVFA-SCC one-way slab study with NC controls. Earlier author manuscript identifies this as a Fig.6 source program; exact plotted specimen and concrete matrix remain unverified.</t>
  </si>
  <si>
    <t>full</t>
  </si>
  <si>
    <t>HVFA-SCC; normal concrete control</t>
  </si>
  <si>
    <t>BFRP and steel control</t>
  </si>
  <si>
    <t>four-point bending</t>
  </si>
  <si>
    <t>Assesses deflection, cracking load, crack spacing and crack-width models; proposes a revised maximum-crack-width relation.</t>
  </si>
  <si>
    <t>Exact count, specimen IDs, geometries, material values, response records, curve identifier and calibration/validation division.</t>
  </si>
  <si>
    <t>49</t>
  </si>
  <si>
    <t>Primary author repository metadata and abstract; full text not available</t>
  </si>
  <si>
    <t>Author institutional repository abstract</t>
  </si>
  <si>
    <t>https://pure.qub.ac.uk/en/publications/serviceability-of-one-way-high-volume-fly-ash-self-compacting-con/</t>
  </si>
  <si>
    <t>10.1016/j.conbuildmat.2019.05.044</t>
  </si>
  <si>
    <t>R078</t>
  </si>
  <si>
    <t>Zheng, Y., Zhou, L.Z., Xia, L.P., et al. (2018)</t>
  </si>
  <si>
    <t>SCC BFRP deck laboratory experiments; must not be merged with Thompson field proof panels.</t>
  </si>
  <si>
    <t>half</t>
  </si>
  <si>
    <t>BFRP</t>
  </si>
  <si>
    <t>single central concentrated load to failure</t>
  </si>
  <si>
    <t>All six half-scale deck specimens reportedly failed in punching.</t>
  </si>
  <si>
    <t>Laboratory study extends Thompson Bridge concept; six laboratory slabs are not the six field panels in Zheng2024.</t>
  </si>
  <si>
    <t>Individual specimen IDs, dimensions, FRP properties, restraint and ultimate loads require original full text.</t>
  </si>
  <si>
    <t>42</t>
  </si>
  <si>
    <t>Study abstract only; no individual records extracted</t>
  </si>
  <si>
    <t>Author abstract reproduced in author publication listing; publisher metadata verified</t>
  </si>
  <si>
    <t>https://www.sciencedirect.com/science/article/pii/S0141029618300920</t>
  </si>
  <si>
    <t>10.1016/j.engstruct.2018.05.105</t>
  </si>
  <si>
    <t>R080</t>
  </si>
  <si>
    <t>Zhou, L., Dong, P., Zheng, Y., Song, G., &amp; Wang, X. (2020)</t>
  </si>
  <si>
    <t>Eleven full-scale one-way HVFA-SCC slabs with NC controls; online2020, issue2021. Earlier author manuscript identifies the GFRP source program; plotted specimen and matrix remain unverified.</t>
  </si>
  <si>
    <t>HVFA-SCC and NC control</t>
  </si>
  <si>
    <t>GFRP and control reinforcement</t>
  </si>
  <si>
    <t>19-mm GFRP bars enlarged maximum cracks in tested HVFA-SCC slabs; similar broad structural response to NC control; model comparison includes cracking load, capacity, crack width/spacing and deflection.</t>
  </si>
  <si>
    <t>Zhou online 2020 / issue 2021</t>
  </si>
  <si>
    <t>Exact specimen IDs, individual geometries/materials and response records; author correspondence or primary PDF needed to resolve current Figure6.</t>
  </si>
  <si>
    <t>2020-09-09</t>
  </si>
  <si>
    <t>Primary publisher metadata and abstract; full text restricted</t>
  </si>
  <si>
    <t>Publisher abstract; Volume 1 Issue 1 (2021), pp. 160-182</t>
  </si>
  <si>
    <t>https://www.eurekaselect.com/article/109839</t>
  </si>
  <si>
    <t>10.2174/2210298101666200909160857</t>
  </si>
  <si>
    <t>Elgabbas 2016 published punching-load ratios</t>
  </si>
  <si>
    <t>Six BFRP slabs from one laboratory. Published ratios are rounded; five restrained slabs and one unrestrained slab remain distinct.</t>
  </si>
  <si>
    <t>Unit ID</t>
  </si>
  <si>
    <t>Source specimen</t>
  </si>
  <si>
    <t>Lateral restraint</t>
  </si>
  <si>
    <t>Measured ultimate load (kN)</t>
  </si>
  <si>
    <t>Published measured / predicted: CSA S806-12</t>
  </si>
  <si>
    <t>Published measured / predicted: ACI440.1R-06</t>
  </si>
  <si>
    <t>Reciprocal predicted / measured: CSA</t>
  </si>
  <si>
    <t>Reciprocal predicted / measured: ACI</t>
  </si>
  <si>
    <t>Interpretation</t>
  </si>
  <si>
    <t>R044-S2-B</t>
  </si>
  <si>
    <t>S2-B</t>
  </si>
  <si>
    <t>Published ratios rounded to 2 decimal places. No model equation was independently recalculated.</t>
  </si>
  <si>
    <t>Table 3</t>
  </si>
  <si>
    <t>R044-S3-B</t>
  </si>
  <si>
    <t>S3-B</t>
  </si>
  <si>
    <t>R044-S4-B</t>
  </si>
  <si>
    <t>S4-B</t>
  </si>
  <si>
    <t>R044-S5-B</t>
  </si>
  <si>
    <t>S5-B</t>
  </si>
  <si>
    <t>R044-S6-B</t>
  </si>
  <si>
    <t>S6-B</t>
  </si>
  <si>
    <t>R044-S7-B</t>
  </si>
  <si>
    <t>S7-B</t>
  </si>
  <si>
    <t>Unrestrained</t>
  </si>
  <si>
    <t>Model</t>
  </si>
  <si>
    <t>Restraint stratum</t>
  </si>
  <si>
    <t>n</t>
  </si>
  <si>
    <t>Mean measured / predicted</t>
  </si>
  <si>
    <t>Sample COV</t>
  </si>
  <si>
    <t>Prediction exceeds test: fraction</t>
  </si>
  <si>
    <t>CSA S806-12</t>
  </si>
  <si>
    <t>Restrained S2–S6</t>
  </si>
  <si>
    <t>ACI440.1R-06</t>
  </si>
  <si>
    <t>Unrestrained S7</t>
  </si>
  <si>
    <t>n.a.</t>
  </si>
  <si>
    <t>Al-Sunna 2012 published deflection-model ratios</t>
  </si>
  <si>
    <t>Six FRP slab series, each with a/b replicates. Published ratios are series-level comparisons at two load states.</t>
  </si>
  <si>
    <t>Comparison ID</t>
  </si>
  <si>
    <t>Source series</t>
  </si>
  <si>
    <t>Load state</t>
  </si>
  <si>
    <t>Prediction model</t>
  </si>
  <si>
    <t>Published predicted / measured deflection</t>
  </si>
  <si>
    <t>Record definition</t>
  </si>
  <si>
    <t>R012-SC1-Service-ACI 440.1R-06</t>
  </si>
  <si>
    <t>SC1</t>
  </si>
  <si>
    <t>Service</t>
  </si>
  <si>
    <t>ACI 440.1R-06</t>
  </si>
  <si>
    <t>Published SERIES-LEVEL ratio. Do not replicate to specimen a and b, or describe as raw specimen-level reanalysis.</t>
  </si>
  <si>
    <t>Table5; accepted manuscript p.16</t>
  </si>
  <si>
    <t>R012-SC2-Service-ACI 440.1R-06</t>
  </si>
  <si>
    <t>SC2</t>
  </si>
  <si>
    <t>R012-SC3-Service-ACI 440.1R-06</t>
  </si>
  <si>
    <t>SC3</t>
  </si>
  <si>
    <t>R012-SG1-Service-ACI 440.1R-06</t>
  </si>
  <si>
    <t>SG1</t>
  </si>
  <si>
    <t>R012-SG2-Service-ACI 440.1R-06</t>
  </si>
  <si>
    <t>SG2</t>
  </si>
  <si>
    <t>R012-SG3-Service-ACI 440.1R-06</t>
  </si>
  <si>
    <t>SG3</t>
  </si>
  <si>
    <t>R012-SC1-Service-Benmokrane et al.1996</t>
  </si>
  <si>
    <t>Benmokrane et al.1996</t>
  </si>
  <si>
    <t>R012-SC2-Service-Benmokrane et al.1996</t>
  </si>
  <si>
    <t>R012-SC3-Service-Benmokrane et al.1996</t>
  </si>
  <si>
    <t>R012-SG1-Service-Benmokrane et al.1996</t>
  </si>
  <si>
    <t>R012-SG2-Service-Benmokrane et al.1996</t>
  </si>
  <si>
    <t>R012-SG3-Service-Benmokrane et al.1996</t>
  </si>
  <si>
    <t>R012-SC1-Service-Eurocode2 / Bischoff</t>
  </si>
  <si>
    <t>Eurocode2 / Bischoff</t>
  </si>
  <si>
    <t>R012-SC2-Service-Eurocode2 / Bischoff</t>
  </si>
  <si>
    <t>R012-SC3-Service-Eurocode2 / Bischoff</t>
  </si>
  <si>
    <t>R012-SG1-Service-Eurocode2 / Bischoff</t>
  </si>
  <si>
    <t>R012-SG2-Service-Eurocode2 / Bischoff</t>
  </si>
  <si>
    <t>R012-SG3-Service-Eurocode2 / Bischoff</t>
  </si>
  <si>
    <t>R012-SC1-Ultimate-ACI 440.1R-06</t>
  </si>
  <si>
    <t>Ultimate</t>
  </si>
  <si>
    <t>R012-SC2-Ultimate-ACI 440.1R-06</t>
  </si>
  <si>
    <t>R012-SC3-Ultimate-ACI 440.1R-06</t>
  </si>
  <si>
    <t>R012-SG1-Ultimate-ACI 440.1R-06</t>
  </si>
  <si>
    <t>R012-SG2-Ultimate-ACI 440.1R-06</t>
  </si>
  <si>
    <t>R012-SG3-Ultimate-ACI 440.1R-06</t>
  </si>
  <si>
    <t>R012-SC1-Ultimate-Benmokrane et al.1996</t>
  </si>
  <si>
    <t>R012-SC2-Ultimate-Benmokrane et al.1996</t>
  </si>
  <si>
    <t>R012-SC3-Ultimate-Benmokrane et al.1996</t>
  </si>
  <si>
    <t>R012-SG1-Ultimate-Benmokrane et al.1996</t>
  </si>
  <si>
    <t>R012-SG2-Ultimate-Benmokrane et al.1996</t>
  </si>
  <si>
    <t>R012-SG3-Ultimate-Benmokrane et al.1996</t>
  </si>
  <si>
    <t>R012-SC1-Ultimate-Eurocode2 / Bischoff</t>
  </si>
  <si>
    <t>R012-SC2-Ultimate-Eurocode2 / Bischoff</t>
  </si>
  <si>
    <t>R012-SC3-Ultimate-Eurocode2 / Bischoff</t>
  </si>
  <si>
    <t>R012-SG1-Ultimate-Eurocode2 / Bischoff</t>
  </si>
  <si>
    <t>R012-SG2-Ultimate-Eurocode2 / Bischoff</t>
  </si>
  <si>
    <t>R012-SG3-Ultimate-Eurocode2 / Bischoff</t>
  </si>
  <si>
    <t>Series n</t>
  </si>
  <si>
    <t>Mean predicted / measured</t>
  </si>
  <si>
    <t>Underpredicted deflection fraction</t>
  </si>
  <si>
    <t>Named experimental units with geometry and material data</t>
  </si>
  <si>
    <t>Named records recovered from cited sources. Laboratory slabs, field panels and bridge test zones are identified separately.</t>
  </si>
  <si>
    <t>Source specimen / unit</t>
  </si>
  <si>
    <t>Record type</t>
  </si>
  <si>
    <t>Program / bridge ID</t>
  </si>
  <si>
    <t>Length (mm)</t>
  </si>
  <si>
    <t>Width (mm)</t>
  </si>
  <si>
    <t>Thickness h (mm)</t>
  </si>
  <si>
    <t>Effective depth d (mm)</t>
  </si>
  <si>
    <t>Span (mm)</t>
  </si>
  <si>
    <t>Shear span a (mm)</t>
  </si>
  <si>
    <t>a/d</t>
  </si>
  <si>
    <t>Concrete strength (MPa)</t>
  </si>
  <si>
    <t>Strength-test basis</t>
  </si>
  <si>
    <t>Bar diameter (mm)</t>
  </si>
  <si>
    <t>Bar designation</t>
  </si>
  <si>
    <t>Bar spacing (mm)</t>
  </si>
  <si>
    <t>Reinforcement ratio (%)</t>
  </si>
  <si>
    <t>Reinforcement modulus (GPa)</t>
  </si>
  <si>
    <t>Bar strength (MPa)</t>
  </si>
  <si>
    <t>Bar-strength basis</t>
  </si>
  <si>
    <t>Bottom cover (mm)</t>
  </si>
  <si>
    <t>Top cover (mm)</t>
  </si>
  <si>
    <t>Contact length (mm)</t>
  </si>
  <si>
    <t>Contact width (mm)</t>
  </si>
  <si>
    <t>Contact diameter (mm)</t>
  </si>
  <si>
    <t>Loading</t>
  </si>
  <si>
    <t>Failure / outcome</t>
  </si>
  <si>
    <t>Data limitations and notes</t>
  </si>
  <si>
    <t>Verification level</t>
  </si>
  <si>
    <t>R044-S1-S</t>
  </si>
  <si>
    <t>S1-S</t>
  </si>
  <si>
    <t>Laboratory specimen</t>
  </si>
  <si>
    <t>ELG2016</t>
  </si>
  <si>
    <t>Steel</t>
  </si>
  <si>
    <t>Compression-test basis not extracted; no cube-cylinder conversion</t>
  </si>
  <si>
    <t>15M</t>
  </si>
  <si>
    <t>Steel yield strength</t>
  </si>
  <si>
    <t>Punching shear</t>
  </si>
  <si>
    <t>Dash in Table3; text states not cracked at service load. Not coded as measured zero. Steel yield strength</t>
  </si>
  <si>
    <t>Primary table transcription</t>
  </si>
  <si>
    <t>Tables 1–3 (PDF pp. 4, 5, 9)</t>
  </si>
  <si>
    <t>As reported; FRP rupture versus steel yield must be retained</t>
  </si>
  <si>
    <t>Dash in Table3; text states not cracked at service load. Not coded as measured zero.</t>
  </si>
  <si>
    <t>No top reinforcement. Dash in Table3; text states not cracked at service load. Not coded as measured zero.</t>
  </si>
  <si>
    <t>Pre-existing cracks possible; crack-width LVDT malfunctioned after 220 kN; ultimate crack width is missing, not zero.</t>
  </si>
  <si>
    <t>R025-G-200-N</t>
  </si>
  <si>
    <t>G-200-N</t>
  </si>
  <si>
    <t>BOU2011</t>
  </si>
  <si>
    <t>Author-deposited primary full text, table transcription</t>
  </si>
  <si>
    <t>R025-G-175-N</t>
  </si>
  <si>
    <t>G-175-N</t>
  </si>
  <si>
    <t>R025-G-150-N</t>
  </si>
  <si>
    <t>G-150-N</t>
  </si>
  <si>
    <t>R025-G-175-H</t>
  </si>
  <si>
    <t>G-175-H</t>
  </si>
  <si>
    <t>R025-G-175-N-0.7</t>
  </si>
  <si>
    <t>G-175-N-0.7</t>
  </si>
  <si>
    <t>R025-G-175-N-0.35</t>
  </si>
  <si>
    <t>G-175-N-0.35</t>
  </si>
  <si>
    <t>R025-S-175-N</t>
  </si>
  <si>
    <t>S-175-N</t>
  </si>
  <si>
    <t>R025-C-175-N</t>
  </si>
  <si>
    <t>C-175-N</t>
  </si>
  <si>
    <t>R012-SG1a</t>
  </si>
  <si>
    <t>SG1a</t>
  </si>
  <si>
    <t>ALS2012</t>
  </si>
  <si>
    <t>Cube strength; no conversion</t>
  </si>
  <si>
    <t>Rebar rupture</t>
  </si>
  <si>
    <t>Concrete strength is CUBE strength; do not treat as cylinder fc. Nominal reinforcement ratio reported per series; actual cover differs. No numerical raw ultimate load or deflection extracted from curves.</t>
  </si>
  <si>
    <t>R012-SG1b</t>
  </si>
  <si>
    <t>SG1b</t>
  </si>
  <si>
    <t>R012-SG2a</t>
  </si>
  <si>
    <t>SG2a</t>
  </si>
  <si>
    <t>Almost balanced</t>
  </si>
  <si>
    <t>R012-SG2b</t>
  </si>
  <si>
    <t>SG2b</t>
  </si>
  <si>
    <t>R012-SG3a</t>
  </si>
  <si>
    <t>SG3a</t>
  </si>
  <si>
    <t>Concrete crushing</t>
  </si>
  <si>
    <t>R012-SG3b</t>
  </si>
  <si>
    <t>SG3b</t>
  </si>
  <si>
    <t>R012-SC1a</t>
  </si>
  <si>
    <t>SC1a</t>
  </si>
  <si>
    <t>R012-SC1b</t>
  </si>
  <si>
    <t>SC1b</t>
  </si>
  <si>
    <t>R012-SC2a</t>
  </si>
  <si>
    <t>SC2a</t>
  </si>
  <si>
    <t>R012-SC2b</t>
  </si>
  <si>
    <t>SC2b</t>
  </si>
  <si>
    <t>R012-SC3a</t>
  </si>
  <si>
    <t>SC3a</t>
  </si>
  <si>
    <t>R012-SC3b</t>
  </si>
  <si>
    <t>SC3b</t>
  </si>
  <si>
    <t>R012-SSa</t>
  </si>
  <si>
    <t>SSa</t>
  </si>
  <si>
    <t>Reinforcement yielding</t>
  </si>
  <si>
    <t>R012-SSb</t>
  </si>
  <si>
    <t>SSb</t>
  </si>
  <si>
    <t>R002-GA-56</t>
  </si>
  <si>
    <t>GA-56</t>
  </si>
  <si>
    <t>ABS2014</t>
  </si>
  <si>
    <t>Diagonal tension</t>
  </si>
  <si>
    <t>Ef and rho retained from Table3-3. Table5-1 reports different measured bar moduli; do not use for model validation before reconciliation. Published Vexp rounded separately, not exactly Pu/2.</t>
  </si>
  <si>
    <t>Primary thesis table transcription; cross-table inconsistencies flagged</t>
  </si>
  <si>
    <t>R002-GV-46</t>
  </si>
  <si>
    <t>GV-46</t>
  </si>
  <si>
    <t>Shear compression with FRP shearing-off</t>
  </si>
  <si>
    <t>R002-GV-56</t>
  </si>
  <si>
    <t>GV-56</t>
  </si>
  <si>
    <t>Ef and rho retained from Table3-3. Table5-1 reports different measured bar moduli; do not use for model validation before reconciliation. Published Vexp rounded separately, not exactly Pu/2. Ultimate response not transcribed; missing rather than estimated.</t>
  </si>
  <si>
    <t>R002-GV-66</t>
  </si>
  <si>
    <t>GV-66</t>
  </si>
  <si>
    <t>R002-GV-76</t>
  </si>
  <si>
    <t>GV-76</t>
  </si>
  <si>
    <t>R002-GV-58</t>
  </si>
  <si>
    <t>GV-58</t>
  </si>
  <si>
    <t>Diagonal tension with FRP shearing-off</t>
  </si>
  <si>
    <t>R002-GH-56</t>
  </si>
  <si>
    <t>GH-56</t>
  </si>
  <si>
    <t>R002-GH-66</t>
  </si>
  <si>
    <t>GH-66</t>
  </si>
  <si>
    <t>R002-GH-66B</t>
  </si>
  <si>
    <t>GH-66B</t>
  </si>
  <si>
    <t>Shear bond</t>
  </si>
  <si>
    <t>Ef and rho retained from Table3-3. Table5-1 reports different measured bar moduli; do not use for model validation before reconciliation. Published Vexp rounded separately, not exactly Pu/2. Bundled longitudinal bars.</t>
  </si>
  <si>
    <t>R002-GH-78</t>
  </si>
  <si>
    <t>GH-78</t>
  </si>
  <si>
    <t>R002-GH-56a</t>
  </si>
  <si>
    <t>GH-56a</t>
  </si>
  <si>
    <t>Shear compression</t>
  </si>
  <si>
    <t>R002-GH-56b</t>
  </si>
  <si>
    <t>GH-56b</t>
  </si>
  <si>
    <t>R002-CV-54</t>
  </si>
  <si>
    <t>CV-54</t>
  </si>
  <si>
    <t>R002-CV-64</t>
  </si>
  <si>
    <t>CV-64</t>
  </si>
  <si>
    <t>R002-CV-74</t>
  </si>
  <si>
    <t>CV-74</t>
  </si>
  <si>
    <t>R002-CV-84</t>
  </si>
  <si>
    <t>CV-84</t>
  </si>
  <si>
    <t>Shear</t>
  </si>
  <si>
    <t>R002-CV-65</t>
  </si>
  <si>
    <t>CV-65</t>
  </si>
  <si>
    <t>R002-CV-75</t>
  </si>
  <si>
    <t>CV-75</t>
  </si>
  <si>
    <t>R002-CV-85</t>
  </si>
  <si>
    <t>CV-85</t>
  </si>
  <si>
    <t>R002-CV-74a</t>
  </si>
  <si>
    <t>CV-74a</t>
  </si>
  <si>
    <t>Ef and rho retained from Table3-3. Table5-1 reports different measured bar moduli; do not use for model validation before reconciliation. Published Vexp rounded separately, not exactly Pu/2. fc=76.2MPa Table3-3;76.0MPa Table4-1.</t>
  </si>
  <si>
    <t>R002-CV-74b</t>
  </si>
  <si>
    <t>CV-74b</t>
  </si>
  <si>
    <t>R002-S-56</t>
  </si>
  <si>
    <t>S-56</t>
  </si>
  <si>
    <t>Flexural compression</t>
  </si>
  <si>
    <t>R060-S-150-T</t>
  </si>
  <si>
    <t>S-150-T</t>
  </si>
  <si>
    <t>MIC1998</t>
  </si>
  <si>
    <t>Measured average tensile strength; steel value is yield strength.</t>
  </si>
  <si>
    <t>Yielding then concrete crushing</t>
  </si>
  <si>
    <t>Table4 crack widths are averaged FIRST CRACK widths, not maximum widths at a defined service load. Program-wide concrete strength range must not be assigned to each slab. Table3 asterisks identify load/deflection AT YIELD; ultimate omitted. Measured average tensile strength; steel value is yield strength.</t>
  </si>
  <si>
    <t>Primary fulltext table transcription</t>
  </si>
  <si>
    <t>https://www.academia.edu/68347252/Flexural_Behavior_of_One_Way_Concrete_Slabs_Reinforced_by_Fiber_Reinforced_Plastic_Reinforcements</t>
  </si>
  <si>
    <t>R060-I-150-A</t>
  </si>
  <si>
    <t>I-150-A</t>
  </si>
  <si>
    <t>FRP rupture</t>
  </si>
  <si>
    <t>Table4 crack widths are averaged FIRST CRACK widths, not maximum widths at a defined service load. Program-wide concrete strength range must not be assigned to each slab. Measured average tensile strength; steel value is yield strength.</t>
  </si>
  <si>
    <t>R060-I-150-B</t>
  </si>
  <si>
    <t>I-150-B</t>
  </si>
  <si>
    <t>Primary fulltext OCR table: restore printed decimal in8004 to80.4kN; paired18.03kip provides consistency check.</t>
  </si>
  <si>
    <t>R060-I-150-C</t>
  </si>
  <si>
    <t>I-150-C</t>
  </si>
  <si>
    <t>Shear of GFRP at major crack</t>
  </si>
  <si>
    <t>R060-S-200-T</t>
  </si>
  <si>
    <t>S-200-T</t>
  </si>
  <si>
    <t>10M</t>
  </si>
  <si>
    <t>R060-I-200-A</t>
  </si>
  <si>
    <t>I-200-A</t>
  </si>
  <si>
    <t>R060-I-200-C</t>
  </si>
  <si>
    <t>I-200-C</t>
  </si>
  <si>
    <t>R060-LL-200-C</t>
  </si>
  <si>
    <t>LL-200-C</t>
  </si>
  <si>
    <t>Bond slip</t>
  </si>
  <si>
    <t>R074-Test_Panel_1</t>
  </si>
  <si>
    <t>Test Panel 1</t>
  </si>
  <si>
    <t>field panel</t>
  </si>
  <si>
    <t>ThompsonBridge_Field</t>
  </si>
  <si>
    <t>100-mm cube; Table 3</t>
  </si>
  <si>
    <t>BFRP rupture at 0.2 kN/s</t>
  </si>
  <si>
    <t>Central static circular loading contact, diameter 300 mm</t>
  </si>
  <si>
    <t>No ultimate failure observed; proof loading stopped at 400 kN</t>
  </si>
  <si>
    <t>Table2 and Section3.2 give mean cube strength50.5MPa, while Table3 uses50.2MPa for each panel; table-specific50.2 retained. No conversion to cylinder strength. Bar properties are shared material means. Individual effective depth/spacing/cover not verified.</t>
  </si>
  <si>
    <t>Primary full text; direct table extraction</t>
  </si>
  <si>
    <t>Table 3, printed p.6; geometry Section3.1 printed p.4; bar properties Table2 printed p.4 and Section3.2 p.5; contact Section3.3 p.5</t>
  </si>
  <si>
    <t>R074-Test_Panel_2</t>
  </si>
  <si>
    <t>Test Panel 2</t>
  </si>
  <si>
    <t>R074-Test_Panel_3</t>
  </si>
  <si>
    <t>Test Panel 3</t>
  </si>
  <si>
    <t>R074-Test_Panel_4</t>
  </si>
  <si>
    <t>Test Panel 4</t>
  </si>
  <si>
    <t>R074-Test_Panel_5</t>
  </si>
  <si>
    <t>Test Panel 5</t>
  </si>
  <si>
    <t>steel yield</t>
  </si>
  <si>
    <t>R074-Test_Panel_6</t>
  </si>
  <si>
    <t>Test Panel 6</t>
  </si>
  <si>
    <t>R048-R-load_section</t>
  </si>
  <si>
    <t>R-load section</t>
  </si>
  <si>
    <t>test zone (not independent slab)</t>
  </si>
  <si>
    <t>Queen's full-scale bridge deck, shared with P-load section</t>
  </si>
  <si>
    <t>Rolling load</t>
  </si>
  <si>
    <t>No fatigue failure reported in accessible abstract; stopped cycle count, not Nf</t>
  </si>
  <si>
    <t>Pmin/Pmax sequence; individual reinforcement properties; raw stiffness/deflection values</t>
  </si>
  <si>
    <t>Primary source extraction</t>
  </si>
  <si>
    <t>Abstract, original 04024023 paper</t>
  </si>
  <si>
    <t>https://www.researchgate.net/publication/381744449_Rolling_Load_versus_Pulsating_Load_Fatigue_Behavior_of_a_Full-Scale_Bridge_Deck_Reinforced_with_GFRP_Bars</t>
  </si>
  <si>
    <t>R048-P-load_section</t>
  </si>
  <si>
    <t>P-load section</t>
  </si>
  <si>
    <t>Queen's full-scale bridge deck, shared with R-load section</t>
  </si>
  <si>
    <t>Fixed-point pulsating load</t>
  </si>
  <si>
    <t>R022-Morristown_Bridge</t>
  </si>
  <si>
    <t>Morristown Bridge</t>
  </si>
  <si>
    <t>Benmokrane2006</t>
  </si>
  <si>
    <t>Normal-weight high-performance concrete (source wording)</t>
  </si>
  <si>
    <t>28-day strength; test basis not extracted</t>
  </si>
  <si>
    <t>Field load below design service load. Source Table2 reinforcement ratios differ from direct Af/(sd) with listed cover; retained as source-reported, not silently recomputed. No ultimate load or fatigue life measured. No cracks observed at test after approximately 13 months in service</t>
  </si>
  <si>
    <t>Table1 p.218; Table2 p.219; field loading pp.219-220; response pp.220-222 and conclusions p.225</t>
  </si>
  <si>
    <t>https://doi.org/10.1061/(ASCE)1084-0702(2006)11:2(217)</t>
  </si>
  <si>
    <t>R041-Cookshire-Eaton_Section_G</t>
  </si>
  <si>
    <t>Cookshire-Eaton Section G</t>
  </si>
  <si>
    <t>GFRP field bridge span</t>
  </si>
  <si>
    <t>Cookshire-Eaton Bridge, shared with Section S</t>
  </si>
  <si>
    <t>Bottom reinforcement transcription on author full text is internally inconsistent; omit unverified spacing/direction. Below-design-load proof test. 15.9mm: Af198mm2, E44GPa, fu727±14MPa; 18.7mm: Af275mm2, E42GPa, fu650±30MPa No visible cracks at inspection following field test</t>
  </si>
  <si>
    <t>Table1 p.471; geometry pp.471-472; response pp.473-475</t>
  </si>
  <si>
    <t>https://www.researchgate.net/publication/228666609_Field_Investigation_on_the_First_Bridge_Deck_Slab_Reinforced_with_Glass_FRP_Bars_Constructed_in_Canada</t>
  </si>
  <si>
    <t>R041-Cookshire-Eaton_Section_S</t>
  </si>
  <si>
    <t>Cookshire-Eaton Section S</t>
  </si>
  <si>
    <t>steel field bridge span</t>
  </si>
  <si>
    <t>Cookshire-Eaton Bridge, shared with Section G</t>
  </si>
  <si>
    <t>galvanized steel</t>
  </si>
  <si>
    <t>Table1 p.471; Fig8 p.474</t>
  </si>
  <si>
    <t>Direction-specific reinforcement and field parameters</t>
  </si>
  <si>
    <t>Additional source parameters remain typed and retain their physical meaning.</t>
  </si>
  <si>
    <t>Property</t>
  </si>
  <si>
    <t>Reported value</t>
  </si>
  <si>
    <t>Unit</t>
  </si>
  <si>
    <t>Qualification</t>
  </si>
  <si>
    <t>Splitting tensile strength</t>
  </si>
  <si>
    <t>MPa</t>
  </si>
  <si>
    <t>Main reinforcement count</t>
  </si>
  <si>
    <t>bars</t>
  </si>
  <si>
    <t>SS</t>
  </si>
  <si>
    <t>Main reinforcement total area</t>
  </si>
  <si>
    <t>mm²</t>
  </si>
  <si>
    <t>Girder spacing</t>
  </si>
  <si>
    <t>mm</t>
  </si>
  <si>
    <t>Test-zone length</t>
  </si>
  <si>
    <t>Bridge span</t>
  </si>
  <si>
    <t>Field load below design service load. Source Table2 reinforcement ratios differ from direct Af/(sd) with listed cover; retained as source-reported, not silently recomputed. No ultimate load or fatigue life measured.</t>
  </si>
  <si>
    <t>Girder count</t>
  </si>
  <si>
    <t>girders</t>
  </si>
  <si>
    <t>Deck overhang</t>
  </si>
  <si>
    <t>Bar cross-sectional area</t>
  </si>
  <si>
    <t>Bar modulus standard deviation</t>
  </si>
  <si>
    <t>GPa</t>
  </si>
  <si>
    <t>Bar tensile-strength standard deviation</t>
  </si>
  <si>
    <t>Bar ultimate strain</t>
  </si>
  <si>
    <t>%</t>
  </si>
  <si>
    <t>Top transverse bar spacing</t>
  </si>
  <si>
    <t>Bottom transverse bar spacing</t>
  </si>
  <si>
    <t>Top longitudinal bar spacing</t>
  </si>
  <si>
    <t>Bottom longitudinal bar spacing</t>
  </si>
  <si>
    <t>Top transverse reinforcement ratio: source-reported</t>
  </si>
  <si>
    <t>Bottom transverse reinforcement ratio: source-reported</t>
  </si>
  <si>
    <t>Top longitudinal reinforcement ratio: source-reported</t>
  </si>
  <si>
    <t>Bottom longitudinal reinforcement ratio: source-reported</t>
  </si>
  <si>
    <t>Bar surface</t>
  </si>
  <si>
    <t>sand coated</t>
  </si>
  <si>
    <t>Bar resin</t>
  </si>
  <si>
    <t>vinyl ester</t>
  </si>
  <si>
    <t>Fibers</t>
  </si>
  <si>
    <t>E-glass, 75% by volume</t>
  </si>
  <si>
    <t>Maximum field-test wheel load</t>
  </si>
  <si>
    <t>kN</t>
  </si>
  <si>
    <t>Design service wheel load</t>
  </si>
  <si>
    <t>Static test date</t>
  </si>
  <si>
    <t>October2003</t>
  </si>
  <si>
    <t>Opening date</t>
  </si>
  <si>
    <t>September2002</t>
  </si>
  <si>
    <t>Bottom reinforcement transcription on author full text is internally inconsistent; omit unverified spacing/direction. Below-design-load proof test.</t>
  </si>
  <si>
    <t>Measured responses and censored observations</t>
  </si>
  <si>
    <t>One response per row. Multiple responses from the same experimental unit do not increase the specimen count.</t>
  </si>
  <si>
    <t>Observation ID</t>
  </si>
  <si>
    <t>Response measure</t>
  </si>
  <si>
    <t>Applied load (kN)</t>
  </si>
  <si>
    <t>Observation class</t>
  </si>
  <si>
    <t>Outcome / qualification</t>
  </si>
  <si>
    <t>O0001</t>
  </si>
  <si>
    <t>First cracking load</t>
  </si>
  <si>
    <t>Measured</t>
  </si>
  <si>
    <t>O0002</t>
  </si>
  <si>
    <t>Ultimate applied load</t>
  </si>
  <si>
    <t>O0003</t>
  </si>
  <si>
    <t>Deflection at service load</t>
  </si>
  <si>
    <t>O0004</t>
  </si>
  <si>
    <t>Deflection at factored reference load</t>
  </si>
  <si>
    <t>O0005</t>
  </si>
  <si>
    <t>Deflection at ultimate load</t>
  </si>
  <si>
    <t>O0006</t>
  </si>
  <si>
    <t>Maximum crack width at factored reference load</t>
  </si>
  <si>
    <t>O0007</t>
  </si>
  <si>
    <t>Maximum crack width at ultimate load</t>
  </si>
  <si>
    <t>O0008</t>
  </si>
  <si>
    <t>O0009</t>
  </si>
  <si>
    <t>O0010</t>
  </si>
  <si>
    <t>O0011</t>
  </si>
  <si>
    <t>O0012</t>
  </si>
  <si>
    <t>O0013</t>
  </si>
  <si>
    <t>Maximum crack width at service load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</si>
  <si>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</si>
  <si>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</si>
  <si>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</si>
  <si>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</si>
  <si>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</si>
  <si>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</si>
  <si>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</si>
  <si>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</si>
  <si>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</si>
  <si>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</si>
  <si>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</si>
  <si>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</si>
  <si>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</si>
  <si>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</si>
  <si>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</si>
  <si>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</si>
  <si>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</si>
  <si>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</si>
  <si>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</si>
  <si>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</si>
  <si>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</si>
  <si>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</si>
  <si>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</si>
  <si>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</si>
  <si>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</si>
  <si>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</si>
  <si>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</si>
  <si>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</si>
  <si>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</si>
  <si>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</si>
  <si>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</si>
  <si>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</si>
  <si>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</si>
  <si>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</si>
  <si>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</si>
  <si>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</si>
  <si>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</si>
  <si>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</si>
  <si>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</si>
  <si>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</si>
  <si>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</si>
  <si>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</si>
  <si>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</si>
  <si>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</si>
  <si>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</si>
  <si>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</si>
  <si>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</si>
  <si>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</si>
  <si>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</si>
  <si>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</si>
  <si>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</si>
  <si>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</si>
  <si>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</si>
  <si>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</si>
  <si>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</si>
  <si>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</si>
  <si>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</si>
  <si>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</si>
  <si>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</si>
  <si>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</si>
  <si>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</si>
  <si>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</si>
  <si>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</si>
  <si>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</si>
  <si>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</si>
  <si>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</si>
  <si>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</si>
  <si>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</si>
  <si>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</si>
  <si>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</si>
  <si>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</si>
  <si>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</si>
  <si>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</si>
  <si>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Ultimate shear force</t>
  </si>
  <si>
    <t>Shear force; do not equate to total applied load without load diagram. Diagonal tension</t>
  </si>
  <si>
    <t>O0087</t>
  </si>
  <si>
    <t>O0088</t>
  </si>
  <si>
    <t>O0089</t>
  </si>
  <si>
    <t>Shear force; do not equate to total applied load without load diagram. Shear compression with FRP shearing-off</t>
  </si>
  <si>
    <t>O0090</t>
  </si>
  <si>
    <t>O0091</t>
  </si>
  <si>
    <t>O0092</t>
  </si>
  <si>
    <t>Shear force; do not equate to total applied load without load diagram. Diagonal tension with FRP shearing-off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</si>
  <si>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</si>
  <si>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</si>
  <si>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</si>
  <si>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</si>
  <si>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</si>
  <si>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</si>
  <si>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</si>
  <si>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</si>
  <si>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</si>
  <si>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Shear force; do not equate to total applied load without load diagram. Shear bond</t>
  </si>
  <si>
    <t>O0102</t>
  </si>
  <si>
    <t>O0103</t>
  </si>
  <si>
    <t>O0104</t>
  </si>
  <si>
    <t>O0105</t>
  </si>
  <si>
    <t>O0106</t>
  </si>
  <si>
    <t>O0107</t>
  </si>
  <si>
    <t>Shear force; do not equate to total applied load without load diagram. Shear compression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</si>
  <si>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</si>
  <si>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</si>
  <si>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</si>
  <si>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</si>
  <si>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</si>
  <si>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</si>
  <si>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</si>
  <si>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</si>
  <si>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</si>
  <si>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</si>
  <si>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</si>
  <si>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</si>
  <si>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</si>
  <si>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</si>
  <si>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Shear force; do not equate to total applied load without load diagram. Shear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</si>
  <si>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</si>
  <si>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</si>
  <si>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</si>
  <si>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</si>
  <si>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</si>
  <si>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</si>
  <si>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</si>
  <si>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</si>
  <si>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</si>
  <si>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</si>
  <si>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</si>
  <si>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</si>
  <si>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</si>
  <si>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</si>
  <si>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</si>
  <si>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</si>
  <si>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</si>
  <si>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Steel yield load</t>
  </si>
  <si>
    <t>Yield load is distinct from ultimate capacity. Yielding then concrete crushing</t>
  </si>
  <si>
    <t>O0139</t>
  </si>
  <si>
    <t>Deflection at steel yield</t>
  </si>
  <si>
    <t>O0140</t>
  </si>
  <si>
    <t>Average first-crack width</t>
  </si>
  <si>
    <t>Source Table4 first-crack measure</t>
  </si>
  <si>
    <t>Not maximum crack width at a defined service load. Yielding then concrete crushing</t>
  </si>
  <si>
    <t>O0141</t>
  </si>
  <si>
    <t>Crack spacing</t>
  </si>
  <si>
    <t>O0142</t>
  </si>
  <si>
    <t>O0143</t>
  </si>
  <si>
    <t>O0144</t>
  </si>
  <si>
    <t>Not maximum crack width at a defined service load. FRP rupture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</si>
  <si>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</si>
  <si>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</si>
  <si>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</si>
  <si>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</si>
  <si>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</si>
  <si>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</si>
  <si>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</si>
  <si>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</si>
  <si>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</si>
  <si>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</si>
  <si>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Not maximum crack width at a defined service load. Shear of GFRP at major crack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</si>
  <si>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</si>
  <si>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</si>
  <si>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</si>
  <si>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</si>
  <si>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</si>
  <si>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</si>
  <si>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</si>
  <si>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</si>
  <si>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</si>
  <si>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</si>
  <si>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</si>
  <si>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</si>
  <si>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</si>
  <si>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</si>
  <si>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</si>
  <si>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</si>
  <si>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</si>
  <si>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</si>
  <si>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</si>
  <si>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</si>
  <si>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Not maximum crack width at a defined service load. Bond slip</t>
  </si>
  <si>
    <t>O0175</t>
  </si>
  <si>
    <t>O0176</t>
  </si>
  <si>
    <t>O0177</t>
  </si>
  <si>
    <t>O0178</t>
  </si>
  <si>
    <t>Deflection at maximum proof load</t>
  </si>
  <si>
    <t>O0179</t>
  </si>
  <si>
    <t>Reinforcement strain at service load</t>
  </si>
  <si>
    <t>microstrain</t>
  </si>
  <si>
    <t>O0180</t>
  </si>
  <si>
    <t>Resistance lower bound</t>
  </si>
  <si>
    <t>Right-censored</t>
  </si>
  <si>
    <t>Test stopped without ultimate failure; not a failure resistance. No ultimate failure observed; proof loading stopped at 400 kN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</si>
  <si>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</si>
  <si>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</si>
  <si>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</si>
  <si>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</si>
  <si>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</si>
  <si>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</si>
  <si>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</si>
  <si>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</si>
  <si>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</si>
  <si>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</si>
  <si>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</si>
  <si>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</si>
  <si>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</si>
  <si>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</si>
  <si>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</si>
  <si>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</si>
  <si>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</si>
  <si>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</si>
  <si>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</si>
  <si>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Cyclic loading termination count</t>
  </si>
  <si>
    <t>cycles</t>
  </si>
  <si>
    <t>Stopped-cycle count; not fatigue failure life</t>
  </si>
  <si>
    <t>O0200</t>
  </si>
  <si>
    <t>Stiffness loss at termination</t>
  </si>
  <si>
    <t>Published abstract result</t>
  </si>
  <si>
    <t>Percentage loss, not residual stiffness ratio.</t>
  </si>
  <si>
    <t>O0201</t>
  </si>
  <si>
    <t>Service-deflection limit reached</t>
  </si>
  <si>
    <t>Serviceability limit event</t>
  </si>
  <si>
    <t>span/800</t>
  </si>
  <si>
    <t>O0202</t>
  </si>
  <si>
    <t>Deflection excess at 3 million cycles</t>
  </si>
  <si>
    <t>Relative to stated serviceability deflection limit.</t>
  </si>
  <si>
    <t>O0203</t>
  </si>
  <si>
    <t>O0204</t>
  </si>
  <si>
    <t>O0205</t>
  </si>
  <si>
    <t>Maximum bottom-bar field strain</t>
  </si>
  <si>
    <t>Measured maximum under field test</t>
  </si>
  <si>
    <t>O0206</t>
  </si>
  <si>
    <t>Maximum top-bar field strain</t>
  </si>
  <si>
    <t>O0207</t>
  </si>
  <si>
    <t>Local deck-deflection upper bound</t>
  </si>
  <si>
    <t>Measured response reported as bound</t>
  </si>
  <si>
    <t>Reported operator: &lt;</t>
  </si>
  <si>
    <t>O0208</t>
  </si>
  <si>
    <t>Peak girder deflection: one truck</t>
  </si>
  <si>
    <t>Measured girder response; not local deck deflection</t>
  </si>
  <si>
    <t>O0209</t>
  </si>
  <si>
    <t>Peak girder deflection: two trucks</t>
  </si>
  <si>
    <t>O0210</t>
  </si>
  <si>
    <t>O0211</t>
  </si>
  <si>
    <t>O0212</t>
  </si>
  <si>
    <t>O0213</t>
  </si>
  <si>
    <t>O0214</t>
  </si>
  <si>
    <t>Model-comparison provenance and allowable interpretation</t>
  </si>
  <si>
    <t>Figures and model rankings require specimen membership, response definitions and calibration-versus-validation separation.</t>
  </si>
  <si>
    <t>Audit ID</t>
  </si>
  <si>
    <t>Manuscript location</t>
  </si>
  <si>
    <t>Response</t>
  </si>
  <si>
    <t>Reference IDs</t>
  </si>
  <si>
    <t>Evidence population</t>
  </si>
  <si>
    <t>Evidence status</t>
  </si>
  <si>
    <t>What is recoverable</t>
  </si>
  <si>
    <t>Interpretation boundary</t>
  </si>
  <si>
    <t>Required reconciliation</t>
  </si>
  <si>
    <t>MA01</t>
  </si>
  <si>
    <t>Sections 3.2 / Figs. 4–6</t>
  </si>
  <si>
    <t>Deflection and crack width</t>
  </si>
  <si>
    <t>R077; R080</t>
  </si>
  <si>
    <t>Zheng et al. 2019 (BFRP); Zhou et al. online 2020 / issue 2021 (GFRP)</t>
  </si>
  <si>
    <t>Within-team illustrative comparisons</t>
  </si>
  <si>
    <t>Source programs identified from earlier author manuscript; exact plotted specimen IDs, source figures and response matrix unresolved</t>
  </si>
  <si>
    <t>No pooled model ranking; repeated load points are correlated. Two programs from overlapping authors do not establish multi-laboratory validation.</t>
  </si>
  <si>
    <t>Original version describes HVFA-SCC; current captions say NC. Recover original plotting files to resolve matrix and IDs.</t>
  </si>
  <si>
    <t>MA02</t>
  </si>
  <si>
    <t>Section 3.3 / Figs. 7–9</t>
  </si>
  <si>
    <t>R002; R003; R004; R043; R012 and cited sources</t>
  </si>
  <si>
    <t>Legacy manuscript claims 84 units (45+28+11)</t>
  </si>
  <si>
    <t>Original graph database not recovered</t>
  </si>
  <si>
    <t>No original source-to-point crosswalk or model input workbook supplied. Newly extracted slab rows are NOT represented as recovery of those 84 points.</t>
  </si>
  <si>
    <t>Parameter trends may be discussed with limits; pooled bias/COV/unsafe fraction cannot be reproduced for the legacy figures.</t>
  </si>
  <si>
    <t>Match every old graph point to unique specimen, source, V versus total load, depth, a/d, failure mode and model version.</t>
  </si>
  <si>
    <t>MA03</t>
  </si>
  <si>
    <t>Section 3.4 / Model Benchmark</t>
  </si>
  <si>
    <t>Punching resistance</t>
  </si>
  <si>
    <t>Six BFRP specimens: five edge restrained and one unrestrained</t>
  </si>
  <si>
    <t>Published ratio audit</t>
  </si>
  <si>
    <t>Table 3 reports measured/predicted ratios for CSA S806-12 and ACI440.1R-06. Ratios are rounded; independent model-input reconstruction not performed.</t>
  </si>
  <si>
    <t>Describe this one external laboratory benchmark and stratify restraint. Do not treat it as full cross-study validation or modern-code ranking.</t>
  </si>
  <si>
    <t>Preserve steel control separately; exclude historical G-S2/C-S2 comparator rows from the Elgabbas2016 experiment count.</t>
  </si>
  <si>
    <t>MA04</t>
  </si>
  <si>
    <t>Section 4</t>
  </si>
  <si>
    <t>Fatigue</t>
  </si>
  <si>
    <t>R015; R027; R036; R037; R039; R048; R055</t>
  </si>
  <si>
    <t>Publication/program-level cyclic evidence</t>
  </si>
  <si>
    <t>No unified fatigue regression</t>
  </si>
  <si>
    <t>Stationary, moving-wheel and variable-amplitude loading are distinct. Companion reports may reuse tests.</t>
  </si>
  <si>
    <t>Record load ratio, frequency, cycle history, runouts and failure mechanism; a pooled S–N or Miner-law fit is not established.</t>
  </si>
  <si>
    <t>Recover original fatigue specimen IDs and censoring; do not convert a survived runout into a failure life.</t>
  </si>
  <si>
    <t>MA05</t>
  </si>
  <si>
    <t>Section 5 / Thompson Bridge response table</t>
  </si>
  <si>
    <t>Field proof loading</t>
  </si>
  <si>
    <t>Six tested panels in one bridge: four BFRP, two steel</t>
  </si>
  <si>
    <t>Right-censored strength</t>
  </si>
  <si>
    <t>All panels sustained 400 kN without ultimate failure. Source cube strength and measured deflection/strain retained.</t>
  </si>
  <si>
    <t>Validate service responses only. 400 kN is a lower bound, and 838–843 kN model predictions are not measured strengths.</t>
  </si>
  <si>
    <t>Calculated crack width 0.43 mm is not entered as a directly measured crack width.</t>
  </si>
  <si>
    <t>MA06</t>
  </si>
  <si>
    <t>Environmental discussion</t>
  </si>
  <si>
    <t>Deterioration / reliability</t>
  </si>
  <si>
    <t>R011; R050; R079</t>
  </si>
  <si>
    <t>Numerical/reliability studies</t>
  </si>
  <si>
    <t>Secondary model evidence</t>
  </si>
  <si>
    <t>Sulfate/ASR and static finite-element results do not constitute new coupled environmental-fatigue deck tests.</t>
  </si>
  <si>
    <t>Mechanistic or simulation support only; no additional test specimens counted.</t>
  </si>
  <si>
    <t>Keep environmental exposure, service history, calibration data and external validation distinct.</t>
  </si>
  <si>
    <t>Complete audit of the 80 supplied bibliography records</t>
  </si>
  <si>
    <t>Bibliography entries are classified by evidence role. A reference count is not a search-hit or independent-study count.</t>
  </si>
  <si>
    <t>Citation key</t>
  </si>
  <si>
    <t>Classification</t>
  </si>
  <si>
    <t>Topics</t>
  </si>
  <si>
    <t>Original bibliography entry</t>
  </si>
  <si>
    <t>Corrected citation, when verified</t>
  </si>
  <si>
    <t>Scope and overlap note</t>
  </si>
  <si>
    <t>Classification basis</t>
  </si>
  <si>
    <t>Verified source URL</t>
  </si>
  <si>
    <t>Original row IDs (including candidates)</t>
  </si>
  <si>
    <t>Use in database</t>
  </si>
  <si>
    <t>R001</t>
  </si>
  <si>
    <t>Abandah2022</t>
  </si>
  <si>
    <t>secondary_numerical_model</t>
  </si>
  <si>
    <t>Abandah, M. R., &amp; Issa, M. A. (2022). Influence of reinforcement parameters on punching shear capacity of laterally restrained FRP-reinforced concrete bridge deck slabs. Structures, 41, 434–446.</t>
  </si>
  <si>
    <t>Numerical parameter study; empirical model fitted using three previous experimental programs. No new tested specimens established.</t>
  </si>
  <si>
    <t>Manuscript title/content and bibliographic audit; specific factual details independently checked where source_url supplied.</t>
  </si>
  <si>
    <t>https://www.sciencedirect.com/science/article/pii/S2352012422003368</t>
  </si>
  <si>
    <t>35</t>
  </si>
  <si>
    <t>Context only; not a new slab-test population</t>
  </si>
  <si>
    <t>AbdulSalam2014</t>
  </si>
  <si>
    <t>slab_experimental_report</t>
  </si>
  <si>
    <t>Abdul-Salam, B. (2014). Behaviour of Shear-Critical FRP-Reinforced Concrete One-Way Slabs (Doctoral dissertation). Université de Sherbrooke, Sherbrooke, Canada.</t>
  </si>
  <si>
    <t>Doctoral thesis; experimental source. Potential overlap with Abdul-Salam et al. 2013 and 2016; thesis/journal counts must not be summed.</t>
  </si>
  <si>
    <t>Included in Study Register</t>
  </si>
  <si>
    <t>AbdulSalam2016</t>
  </si>
  <si>
    <t>Abdul-Salam, B., Farghaly, A.S., &amp; Benmokrane, B. (2016). Mechanisms of shear resistance of one-way concrete slabs reinforced with FRP bars. Construction &amp; Building Materials, 127(30), 959-970.</t>
  </si>
  <si>
    <t>AbdulSalam2013</t>
  </si>
  <si>
    <t>Abdul-Salam, B., Farghaly, A.S., Benmokrane, B. (2013). Evaluation of Shear Behavior for One-Way Concrete Slabs Reinforced with Carbon-FRP Bars. CSCE 2013 General Conference.</t>
  </si>
  <si>
    <t>R005</t>
  </si>
  <si>
    <t>ACI3182005</t>
  </si>
  <si>
    <t>code_guidance</t>
  </si>
  <si>
    <t>Deflection / baseline</t>
  </si>
  <si>
    <t>ACI Committee 318. (2005). Building Code Requirements for Structural Concrete and Commentary (ACI 318M-05). Farmington Hills, MI: American Concrete Institute.</t>
  </si>
  <si>
    <t>Conventional steel-RC code; not experimental observations.</t>
  </si>
  <si>
    <t>R006</t>
  </si>
  <si>
    <t>ACI4402003</t>
  </si>
  <si>
    <t>Deflection / cracking / shear</t>
  </si>
  <si>
    <t>ACI Committee 440. (2003). Guide for the Design and Construction of Concrete Reinforced with FRP Bars (ACI 440.1R-03). Farmington Hills, MI: American Concrete Institute.</t>
  </si>
  <si>
    <t>Historical FRP design guide; no original specimen population.</t>
  </si>
  <si>
    <t>R007</t>
  </si>
  <si>
    <t>ACI4402006</t>
  </si>
  <si>
    <t>ACI Committee 440. (2006). Guide for the Design and Construction of Concrete Reinforced with FRP Bars (ACI 440.1R-06). Farmington Hills, MI: American Concrete Institute.</t>
  </si>
  <si>
    <t>R008</t>
  </si>
  <si>
    <t>ACI4402015</t>
  </si>
  <si>
    <t>Design scope</t>
  </si>
  <si>
    <t>ACI Committee 440. (2015). Guide for the Design and Construction of Structural Concrete Reinforced with Fiber-Reinforced Polymer Bars (ACI 440.1R-15). Farmington Hills, MI: American Concrete Institute.</t>
  </si>
  <si>
    <t>R009</t>
  </si>
  <si>
    <t>ACI4402022</t>
  </si>
  <si>
    <t>ACI Committee 440. (2022). Building Code Requirements for Structural Concrete Reinforced with Glass Fiber-Reinforced Polymer (GFRP) Bars—Code and Commentary (ACI CODE-440.11-22). Farmington Hills, MI: American Concrete Institute.</t>
  </si>
  <si>
    <t>GFRP code; material and structural scope must remain explicit.</t>
  </si>
  <si>
    <t>Aflakisamani2023</t>
  </si>
  <si>
    <t>Aflakisamani, M., Mousa, S., Mohamed, H. M., Ahmed, E. A., &amp; Benmokrane, B. (2023). Structural behavior of bridge deck slabs made with GFRP-reinforced lightweight self-consolidating concrete. Journal of Bridge Engineering, 28(3), 04023001.</t>
  </si>
  <si>
    <t>24, 36</t>
  </si>
  <si>
    <t>R011</t>
  </si>
  <si>
    <t>AlRousan2022</t>
  </si>
  <si>
    <t>Environmental deterioration</t>
  </si>
  <si>
    <t>Al-Rousan, R. Z. (2022). Impact of sulfate damage on the behavior of full-scale concrete bridge deck slabs reinforced with FRP bars. Case Studies in Construction Materials, 16, e01030.</t>
  </si>
  <si>
    <t>Numerical investigation of sulfate damage using pre-existing deck test validation; not a new coupled exposure experiment.</t>
  </si>
  <si>
    <t>33</t>
  </si>
  <si>
    <t>AlSunna2012</t>
  </si>
  <si>
    <t>Al-Sunna, R., Pilakoutas, K., Hajirasouliha, I., &amp; Guadagnini, M. (2012). Deflection behaviour of FRP-reinforced concrete beams and slabs: An experimental investigation. Composites Part B: Engineering, 43(5), 2125–2134.</t>
  </si>
  <si>
    <t>Full text confirms 28 members: 14 beams and 14 one-way slabs (12 FRP and 2 steel controls). Table5 deflection ratios are six FRP series, each with a/b replicates; potential overlap with Alsunna2006.</t>
  </si>
  <si>
    <t>R013</t>
  </si>
  <si>
    <t>AlamHussein2013a</t>
  </si>
  <si>
    <t>beam_background</t>
  </si>
  <si>
    <t>One-way shear / size effect</t>
  </si>
  <si>
    <t>Alam, M. S., &amp; Hussein, A. (2013a). Size Effect on Shear Strength of FRP Reinforced Concrete Beams without Stirrups. Journal of Composites for Construction, 17(4), 507-516. https://doi.org/10.1061/(ASCE)CC.1943-5614.0000346.</t>
  </si>
  <si>
    <t>Beam size-effect experiments; not a bridge-deck/slab specimen population.</t>
  </si>
  <si>
    <t>R014</t>
  </si>
  <si>
    <t>AlamHussein2013b</t>
  </si>
  <si>
    <t>One-way shear model</t>
  </si>
  <si>
    <t>Alam, M.S., Hussein, A. (2013b). Unified Shear Design Equation for FRP Reinforced Concrete Members without Stirrups. Journal of Composites for Construction, 2013, 17(5):575-583.</t>
  </si>
  <si>
    <t>Unified shear equation / supporting FRP member database; slab-specific transfer requires validation.</t>
  </si>
  <si>
    <t>Ali2024</t>
  </si>
  <si>
    <t>Ali, Y. M. S., Wang, X., Guo, H., Liu, S., Li, D., Wu, Z., &amp; Moussa, A. M. A. (2024). Static and fatigue behavior of concrete bridge deck slabs reinforced with BFRP and steel bars. Structures, 65, 106707.</t>
  </si>
  <si>
    <t>R016</t>
  </si>
  <si>
    <t>Allam2012</t>
  </si>
  <si>
    <t>Crack width</t>
  </si>
  <si>
    <t>Allam, S.M., Shoukry, M.S., Rashad, G.E., Hassan, A.S. (2012). Crack width evaluation for flexural RC members. Alexandria Engineering Journal, 51(3), 211-220.</t>
  </si>
  <si>
    <t>Conventional flexural RC crack-width background; no direct FRP deck experiments established.</t>
  </si>
  <si>
    <t>R017</t>
  </si>
  <si>
    <t>Alsayed2000</t>
  </si>
  <si>
    <t>Alsayed, S.H., Al-Salloum, Y.A., &amp; Almusallam, T.H. (2000). Performance of glass fiber reinforced plastic bars as a reinforcing material for concrete structures. Composites Part B, 31, 555-567.</t>
  </si>
  <si>
    <t>GFRP concrete structural member / beam background; no direct bridge-deck population established.</t>
  </si>
  <si>
    <t>Alsunna2006</t>
  </si>
  <si>
    <t>Alsunna, R. (2006). Deflection behaviour of FRP reinforced concrete flexural members. University of Sheffield.</t>
  </si>
  <si>
    <t>R019</t>
  </si>
  <si>
    <t>AASHTO2018</t>
  </si>
  <si>
    <t>Bridge design</t>
  </si>
  <si>
    <t>American Association of State Highway and Transportation Officials. (2018). LRFD Bridge Design Guide Specifications for GFRP-Reinforced Concrete (2nd ed.). Washington, DC: AASHTO.</t>
  </si>
  <si>
    <t>Bridge design guide, not test evidence.</t>
  </si>
  <si>
    <t>R020</t>
  </si>
  <si>
    <t>Barris2012</t>
  </si>
  <si>
    <t>Barris, C., Torres, L., Baena, M., Pilakoutas, K., &amp; Guadagnini, M. (2012). Serviceability limit state of FRP RC beams. Advances in Structural Engineering, 15(4), 653-664.</t>
  </si>
  <si>
    <t>FRP RC beams; cannot count as direct slab evidence.</t>
  </si>
  <si>
    <t>R021</t>
  </si>
  <si>
    <t>Benmokrane1996</t>
  </si>
  <si>
    <t>Benmokrane, B., Chaallal, O., &amp; Masmoudi, R. (1996). Flexural response of concrete beams reinforced with FRP reinforcing bars. ACI Structural Journal, 93(1), 46-55.</t>
  </si>
  <si>
    <t>FRP concrete beams, not deck slabs.</t>
  </si>
  <si>
    <t>field_report</t>
  </si>
  <si>
    <t>Benmokrane, B., El-Salakawy, E., El-Ragaby, A., &amp; Lackey, T. (2006). Designing and Testing of Concrete Bridge Decks Reinforced with Glass FRP Bars. Journal of Bridge Engineering, 11(2), 217-229. https://doi.org/10.1061/(ASCE)1084-0702(2006)11:2(217).</t>
  </si>
  <si>
    <t>Berg2006</t>
  </si>
  <si>
    <t>Berg, A. C., Bank, L. C., Oliva, M. G., &amp; Russell, J. S. (2006). Construction and cost analysis of an FRP-reinforced concrete bridge deck. Construction and Building Materials, 20(8), 515–526.</t>
  </si>
  <si>
    <t>R024</t>
  </si>
  <si>
    <t>Bischoff2005</t>
  </si>
  <si>
    <t>Bischoff, P.H. (2005). Reevaluation of deflection prediction for concrete beams reinforced with steel and fiber reinforced polymer bars. Journal of Structural Engineering, 131(5), 752-767.</t>
  </si>
  <si>
    <t>Mechanics/model background for beams; not new bridge-deck dataset.</t>
  </si>
  <si>
    <t>Bouguerra2011</t>
  </si>
  <si>
    <t>Bouguerra, K., Ahmed, E. A., El-Gamal, S., &amp; Benmokrane, B. (2011). Testing of full-scale concrete bridge deck slabs reinforced with fiber-reinforced polymer (FRP) bars. Construction and Building Materials, 25(10), 3956–3965.</t>
  </si>
  <si>
    <t>Full-scale FRP bridge-deck tests; compare specimen IDs against El-Gamal program before pooling.</t>
  </si>
  <si>
    <t>R026</t>
  </si>
  <si>
    <t>Cadenazzi2020</t>
  </si>
  <si>
    <t>Life-cycle cost / environment</t>
  </si>
  <si>
    <t>Cadenazzi, T., Dotelli, G., Rossini, M., Nolan, S., &amp; Nanni, A. (2020). Cost and environmental analyses of reinforcement alternatives for a concrete bridge. Structure and Infrastructure Engineering, 16(4), 787–802.</t>
  </si>
  <si>
    <t>Economic and environmental analysis; not independent structural tests.</t>
  </si>
  <si>
    <t>Carvelli2010</t>
  </si>
  <si>
    <t>Carvelli, V., Pisani, M. A., &amp; Poggi, C. (2010). Fatigue behaviour of concrete bridge deck slabs reinforced with GFRP bars. Composites Part B: Engineering, 41(7), 560–567.</t>
  </si>
  <si>
    <t>R028</t>
  </si>
  <si>
    <t>CEBFIP2007</t>
  </si>
  <si>
    <t>FRP background / guidance</t>
  </si>
  <si>
    <t>CEB-FIP. (2007). FRP Reinforcement in Reinforced Concrete Structures. Lausanne, Switzerland: CEB-FIP.</t>
  </si>
  <si>
    <t>Guidance/reference source, not primary deck experiment.</t>
  </si>
  <si>
    <t>R029</t>
  </si>
  <si>
    <t>Claure2016</t>
  </si>
  <si>
    <t>secondary_review_report</t>
  </si>
  <si>
    <t>Field synthesis</t>
  </si>
  <si>
    <t>Claure, G., et al. (2016). FRP Reinforcement for Concrete: Volume III—Field Applications. Farmington Hills, MI: American Concrete Institute / ISIS Canada.</t>
  </si>
  <si>
    <t>Bibliographic identity questionable: legacy row 12 is Martin Spring Final Report, whereas manuscript calls this a field-application volume. Verify exact document before source-specific claims.</t>
  </si>
  <si>
    <t>12</t>
  </si>
  <si>
    <t>R030</t>
  </si>
  <si>
    <t>Cristina2010</t>
  </si>
  <si>
    <t>Cristina B.P. (2010). Serviceability behaviour of fibre reinforced polymer reinforced concrete beams. Universitat de Girona.</t>
  </si>
  <si>
    <t>Beam thesis; malformed author name requires bibliographic correction; likely Cristina Barris Peña.</t>
  </si>
  <si>
    <t>R031</t>
  </si>
  <si>
    <t>CSA2006</t>
  </si>
  <si>
    <t>CSA Group. (2006). Canadian Highway Bridge Design Code (CAN/CSA S6-06). Toronto, Canada.</t>
  </si>
  <si>
    <t>Bridge code, not experiments.</t>
  </si>
  <si>
    <t>R032</t>
  </si>
  <si>
    <t>CSA2012</t>
  </si>
  <si>
    <t>FRP building design</t>
  </si>
  <si>
    <t>CSA Group. (2012). Design and Construction of Building Structures with Fibre-Reinforced Polymers (CSA S806-12). Toronto, Canada.</t>
  </si>
  <si>
    <t>Code, not experiments.</t>
  </si>
  <si>
    <t>R033</t>
  </si>
  <si>
    <t>CSA2025</t>
  </si>
  <si>
    <t>CSA Group. (2025). Canadian Highway Bridge Design Code (CSA S6:25). Toronto, Canada.</t>
  </si>
  <si>
    <t>ElGamalThesis2005</t>
  </si>
  <si>
    <t>El-Gamal, S. (2005). Behaviour of Restrained Concrete Bridge Deck Slabs Reinforced with FRP Reinforcing Bars under Concentrated Loads (Doctoral dissertation). Université de Sherbrooke, Sherbrooke, Canada.</t>
  </si>
  <si>
    <t>ElGamal2005</t>
  </si>
  <si>
    <t>El-Gamal, S., El-Salakawy, E., &amp; Benmokrane, B. (2005). Behavior of concrete bridge deck slabs reinforced with fiber-reinforced polymer bars under concentrated loads. ACI Structural Journal, 102(5), 727–735.</t>
  </si>
  <si>
    <t>Six full-scale deck slabs (3 GFRP, 2 CFRP, 1 steel) per source abstract; potential overlap with thesis.</t>
  </si>
  <si>
    <t>ElRagaby2011</t>
  </si>
  <si>
    <t>El-Ragaby, A., &amp; El-Salakawy, E. F. (2011). Effect of severe environmental and loading conditions on GFRP-RC bridge deck slabs. ACI Symposium Publication SP-275, 1–20.</t>
  </si>
  <si>
    <t>R037</t>
  </si>
  <si>
    <t>ElRagaby2007a</t>
  </si>
  <si>
    <t>Fatigue analysis</t>
  </si>
  <si>
    <t>El-Ragaby, A., El-Salakawy, E. F., &amp; Benmokrane, B. (2007a). Fatigue analysis of concrete bridge deck slabs reinforced with E-glass/vinyl ester FRP reinforcing bars. Composites Part B: Engineering, 38(5–6), 703–711.</t>
  </si>
  <si>
    <t>Fatigue analysis paper linked to laboratory program reported in 2007b; do not count two independent programs.</t>
  </si>
  <si>
    <t>https://www.sciencedirect.com/science/article/pii/S1359836806001752</t>
  </si>
  <si>
    <t>3</t>
  </si>
  <si>
    <t>ElRagaby2003</t>
  </si>
  <si>
    <t>El-Ragaby, A., El-Salakawy, E., &amp; Benmokrane, B. (2003). Design, construction and testing of a bridge deck reinforced with glass and carbon FRP bars: Wotton Bridge, Quebec. Proceedings of the CSCE Annual Conference, Moncton, Canada.</t>
  </si>
  <si>
    <t>ElRagaby2007b</t>
  </si>
  <si>
    <t>El-Ragaby, A., El-Salakawy, E., &amp; Benmokrane, B. (2007b). Fatigue life evaluation of concrete bridge deck slabs reinforced with glass FRP composite bars. Journal of Composites for Construction, 11(3), 258–268.</t>
  </si>
  <si>
    <t>ElSalakawy2004</t>
  </si>
  <si>
    <t>El-Salakawy, E., &amp; Benmokrane, B. (2004). Serviceability of concrete bridge deck slabs reinforced with fiber-reinforced polymer composite bars. ACI Structural Journal, 101(5), 727-736.</t>
  </si>
  <si>
    <t>ElSalakawy2005</t>
  </si>
  <si>
    <t>El-Salakawy, E., Benmokrane, B., El-Ragaby, A., &amp; Nadeau, D. (2005). Field investigation on the first bridge deck slab reinforced with glass FRP bars constructed in Canada. Journal of Composites for Construction, 9(6), 470–479.</t>
  </si>
  <si>
    <t>14, 17</t>
  </si>
  <si>
    <t>R042</t>
  </si>
  <si>
    <t>ElSayed2005a</t>
  </si>
  <si>
    <t>El-Sayed, A. K., El-Salakawy, E. F., &amp; Benmokrane, B. (2005a). Shear strength of concrete beams reinforced with FRP bars: Design method. ACI Symposium Publication SP-230, 955–974.</t>
  </si>
  <si>
    <t>Beam-based shear-design source; distinguish from 2005b slabs.</t>
  </si>
  <si>
    <t>ElSayed2005b</t>
  </si>
  <si>
    <t>El-Sayed, A., El-Salakawy, E., &amp; Benmokrane, B. (2005b). Shear strength of one-way concrete slabs reinforced with fiber-reinforced polymer composite bars. Journal of Composites for Construction, 9(2), 147-157.</t>
  </si>
  <si>
    <t>One-way FRP slab laboratory experiments.</t>
  </si>
  <si>
    <t>Elgabbas2016</t>
  </si>
  <si>
    <t>Elgabbas, F., Ahmed, E., &amp; Benmokrane, B. (2016). Experimental Testing of Concrete Bridge-Deck Slabs Reinforced with Basalt-FRP Reinforcing Bars under Concentrated Loads. Journal of Bridge Engineering, 21, 04016029.</t>
  </si>
  <si>
    <t>Seven slabs: six BFRP and one steel control. Six edge-restrained and one unrestrained slab; historical G-S2/C-S2 comparisons in Table3 are not new Elgabbas2016 specimens.</t>
  </si>
  <si>
    <t>R045</t>
  </si>
  <si>
    <t>EC22004</t>
  </si>
  <si>
    <t>Crack width / deflection</t>
  </si>
  <si>
    <t>European Committee for Standardization. (2004). Eurocode 2: Design of Concrete Structures—Part 1-1: General Rules and Rules for Buildings (EN 1992-1-1). Brussels, Belgium.</t>
  </si>
  <si>
    <t>Steel-RC code baseline; not FRP deck experimental validation.</t>
  </si>
  <si>
    <t>R046</t>
  </si>
  <si>
    <t>Faza1993</t>
  </si>
  <si>
    <t>Faza, S. S., &amp; GangaRao, H. V. S. (1993). Theoretical and experimental correlation of behavior of concrete beams reinforced with fiber-reinforced plastic rebars. In Fiber-Reinforced-Plastic Reinforcement for Concrete Structures (ACI SP-138). Farmington Hills, MI: American Concrete Institute.</t>
  </si>
  <si>
    <t>FRP beam experiments/model source; no direct deck population.</t>
  </si>
  <si>
    <t>R047</t>
  </si>
  <si>
    <t>GaoFam2024</t>
  </si>
  <si>
    <t>Moving-wheel fatigue</t>
  </si>
  <si>
    <t>Gao, C., &amp; Fam, A. (2024). Fatigue behavior of reinforced concrete bridge decks under moving wheel loads: A state-of-the-art review. Journal of Bridge Engineering, 29(11).</t>
  </si>
  <si>
    <t>State-of-the-art review; primary test populations must be traced to original studies.</t>
  </si>
  <si>
    <t>Gao2024</t>
  </si>
  <si>
    <t>Gao, C., Tauskela, L., &amp; Fam, A. (2024). Rolling load versus pulsating load fatigue behavior of a full-scale bridge deck reinforced with GFRP bars. Journal of Composites for Construction, 28(4).</t>
  </si>
  <si>
    <t>R049</t>
  </si>
  <si>
    <t>Hartt2010</t>
  </si>
  <si>
    <t>Corrosion background</t>
  </si>
  <si>
    <t>Hartt, W.H., Powers, R.G., Lysogorski, D.K., Liroux, V., &amp; Virmani, Y.P. (2010). Corrosion-Resistant Alloys for Reinforced Concrete. FHWA-HRT-09-020, Federal Highway Administration, McLean, VA.</t>
  </si>
  <si>
    <t>FHWA corrosion-resistant alloys report; not FRP deck experiment.</t>
  </si>
  <si>
    <t>R050</t>
  </si>
  <si>
    <t>Idemudia2026</t>
  </si>
  <si>
    <t>Environmental reliability</t>
  </si>
  <si>
    <t>Idemudia, D., Oudah, F., &amp; Newhook, J. (2026). Framework for time-dependent reliability of GFRP-RC slab-on-girder bridge decks under freeze–thaw and creep rupture effects: Application for sustainable designs in Nova Scotia, Canada. Journal of Bridge Engineering, 31(2), 04025103.</t>
  </si>
  <si>
    <t>Time-dependent reliability framework; not new direct environment-fatigue slab experiments.</t>
  </si>
  <si>
    <t>R051</t>
  </si>
  <si>
    <t>IStructE1999</t>
  </si>
  <si>
    <t>FRP design</t>
  </si>
  <si>
    <t>Institution of Structural Engineers. (1999). Interim Guidance on the Design of Reinforced Concrete Structures Using Fibre Composite Reinforcement. London, UK.</t>
  </si>
  <si>
    <t>Guidance, no primary test population.</t>
  </si>
  <si>
    <t>R052</t>
  </si>
  <si>
    <t>fib2024</t>
  </si>
  <si>
    <t>Punching model</t>
  </si>
  <si>
    <t>International Federation for Structural Concrete (fib). (2024). fib Model Code for Concrete Structures (2020). Lausanne, Switzerland: fib. ISBN 978-2-88394-175-5.</t>
  </si>
  <si>
    <t>Model Code, not FRP deck experimental validation.</t>
  </si>
  <si>
    <t>R053</t>
  </si>
  <si>
    <t>ISIS2001</t>
  </si>
  <si>
    <t>ISIS Canada. (2001). Reinforcing Concrete Structures with Fibre Reinforced Polymers (FRPs). Winnipeg, Canada: ISIS Canada Corporation.</t>
  </si>
  <si>
    <t>Design manual, no original specimen population.</t>
  </si>
  <si>
    <t>R054</t>
  </si>
  <si>
    <t>JSCE1997</t>
  </si>
  <si>
    <t>Japan Society of Civil Engineers (JSCE-97). Recommendation for design and construction of concrete structures using continuous fibre reinforced materials. 1997.</t>
  </si>
  <si>
    <t>Design recommendation, no original specimen population.</t>
  </si>
  <si>
    <t>Ju2017</t>
  </si>
  <si>
    <t>Ju, M., Oh, H., &amp; Sim, J. (2017). Indirect fatigue evaluation of CFRP-reinforced bridge deck slabs under variable-amplitude cyclic loading. KSCE Journal of Civil Engineering, 21(5), 1783–1792.</t>
  </si>
  <si>
    <t>R056</t>
  </si>
  <si>
    <t>Kara2011</t>
  </si>
  <si>
    <t>Kara, I.F. (2011). Prediction of shear strength of FRP-reinforced concrete beams without stirrups based on genetic programming. Advances in Engineering Software, 42(6), 295-304.</t>
  </si>
  <si>
    <t>Genetic-programming model for beams using published tests; not new deck specimens.</t>
  </si>
  <si>
    <t>R057</t>
  </si>
  <si>
    <t>Kirkpatrick1984</t>
  </si>
  <si>
    <t>scope_comparator</t>
  </si>
  <si>
    <t>CMA background</t>
  </si>
  <si>
    <t>Kirkpatrick, J., Rankin, G. I. B., &amp; Long, A. E. (1984). Strength evaluation of M-beam bridge deck slabs. The Structural Engineer, 62B(3), 60–68.</t>
  </si>
  <si>
    <t>Conventional M-beam bridge-deck arching/strength evidence; older than claimed 1990 search boundary and not internal FRP slab experiments.</t>
  </si>
  <si>
    <t>Mahroug2014</t>
  </si>
  <si>
    <t>Mahroug, M., Ashour, A. F., &amp; Lam, D. (2014). Experimental response and code modelling of continuous concrete slabs reinforced with BFRP bars. Composite Structures, 107, 664-674.</t>
  </si>
  <si>
    <t>R059</t>
  </si>
  <si>
    <t>Mari2014</t>
  </si>
  <si>
    <t>Marí, A., Cladera, A., Oller, E., &amp; Bairán, J. M. (2014). Shear design of FRP-reinforced concrete beams without transverse reinforcement. Composites Part B: Engineering, 57, 228–241.</t>
  </si>
  <si>
    <t>Beam design model; not independent bridge-deck test population.</t>
  </si>
  <si>
    <t>Michaluk1998</t>
  </si>
  <si>
    <t>Michaluk, C.R., Rizkalla, S.H., Tadros, G., &amp; Benmokrane, B. (1998). Flexural behavior of one-way concrete slabs reinforced by fiber reinforced plastic reinforcements. ACI Structural Journal, 95(3), 145-157.</t>
  </si>
  <si>
    <t>Michaluk, C. R., Rizkalla, S. H., Tadros, G., and Benmokrane, B. (1998). Flexural behavior of one-way concrete slabs reinforced by fiber reinforced plastic reinforcements. ACI Structural Journal, 95(3), 353–365. https://doi.org/10.14359/552.</t>
  </si>
  <si>
    <t>R061</t>
  </si>
  <si>
    <t>Noel2014</t>
  </si>
  <si>
    <t>Crack width / deformation</t>
  </si>
  <si>
    <t>Noël, M., &amp; Soudki, K. (2014). Estimation of the crack width and deformation of FRP-reinforced concrete flexural members with and without transverse shear reinforcement. Engineering Structures, 59, 393–398. https://doi.org/10.1016/j.engstruct.2013.11.005.</t>
  </si>
  <si>
    <t>Flexural member/beam model background; no direct bridge-deck population established.</t>
  </si>
  <si>
    <t>R062</t>
  </si>
  <si>
    <t>Ou2004</t>
  </si>
  <si>
    <t>Ou, J., Wang, B., He, Z., Zhang, X., &amp; Qian, M. (2004). Load-deflection response of concrete beams reinforced with FRP bars. Advances in Structural Engineering, 7(5), 427-436.</t>
  </si>
  <si>
    <t>Concrete beams with FRP bars.</t>
  </si>
  <si>
    <t>R063</t>
  </si>
  <si>
    <t>GB2010</t>
  </si>
  <si>
    <t>PRC National Standard. (2010). Technical Code for Infrastructure Application of FRP Composites (GB 50608-2010). Beijing, China.</t>
  </si>
  <si>
    <t>Design standard; no primary experiments.</t>
  </si>
  <si>
    <t>R064</t>
  </si>
  <si>
    <t>Rafi2009</t>
  </si>
  <si>
    <t>Rafi, M. M., &amp; Nadjai, A. (2009). Evaluation of the ACI 440 deflection model for fiber-reinforced-polymer-reinforced concrete beams and a suggested modification. ACI Materials Journal, 106(6), 762–771.</t>
  </si>
  <si>
    <t>Beam deflection model; journal likely ACI Structural Journal, not Materials Journal.</t>
  </si>
  <si>
    <t>R065</t>
  </si>
  <si>
    <t>Rasheed2004</t>
  </si>
  <si>
    <t>Rasheed, H. A., Nayal, R., &amp; Melhem, H. (2004). Response prediction of concrete beams reinforced with FRP bars. Composite Structures, 65(2), 193-204.</t>
  </si>
  <si>
    <t>Beam response prediction; not direct slab experiments.</t>
  </si>
  <si>
    <t>Rossini2019</t>
  </si>
  <si>
    <t>Rossini, M., Cadenazzi, T., Nolan, S., &amp; Nanni, A. (2019). SEACON and resilient FRP-RC/PC solutions: The Halls River Bridge. In Proceedings of Italian Concrete Days 2018, Lecture Notes in Civil Engineering, 42, 165–180.</t>
  </si>
  <si>
    <t>R067</t>
  </si>
  <si>
    <t>Soric2010</t>
  </si>
  <si>
    <t>Soric, Z., Kisicek, T., &amp; Galic, J. (2010). Deflections of concrete beams reinforced with FRP bars. Materials &amp; Structures, 43, 73-90.</t>
  </si>
  <si>
    <t>FRP concrete beams; not slab dataset.</t>
  </si>
  <si>
    <t>R068</t>
  </si>
  <si>
    <t>Thippeswamy2002</t>
  </si>
  <si>
    <t>US field review</t>
  </si>
  <si>
    <t>Thippeswamy, H. K., Craigo, C., &amp; GangaRao, H. V. S. (2002). Review of bridge decks utilizing FRP composites in the United States. In Condition Monitoring of Materials and Structures (pp. 110–124). Reston, VA: ASCE.</t>
  </si>
  <si>
    <t>Review including several FRP system classes; not independent experiments.</t>
  </si>
  <si>
    <t>19</t>
  </si>
  <si>
    <t>R069</t>
  </si>
  <si>
    <t>Toutanji2000</t>
  </si>
  <si>
    <t>Toutanji, H. A., &amp; Saafi, M. (2000). Flexural behavior of concrete beams reinforced with glass fiber-reinforced polymer (GFRP) bars. ACI Structural Journal, 97(5), 712-719.</t>
  </si>
  <si>
    <t>GFRP beams.</t>
  </si>
  <si>
    <t>R070</t>
  </si>
  <si>
    <t>Toutanji2003</t>
  </si>
  <si>
    <t>Deflection / cracking</t>
  </si>
  <si>
    <t>Toutanji, H., &amp; Deng Y. (2003). Deflection and crack-width prediction of concrete beams reinforced with glass FRP rods. Construction &amp; Building Materials, 17(1), 69-74.</t>
  </si>
  <si>
    <t>R071</t>
  </si>
  <si>
    <t>Yost2003</t>
  </si>
  <si>
    <t>Yost, J.R., Gross, S.P., &amp; Dinehart, D.W. (2003). Effective moment of inertia for glass fiber-reinforced polymer-reinforced concrete beams. ACI Structural Journal, 100(6), 732-739.</t>
  </si>
  <si>
    <t>R072</t>
  </si>
  <si>
    <t>Zhang2015</t>
  </si>
  <si>
    <t>Zhang L., Sun Y., &amp; Xiong W. (2015). Experimental study on the flexural deflections of concrete beam reinforced with basalt FRP bars. Materials and Structures, 48(10), 3279-3293.</t>
  </si>
  <si>
    <t>BFRP beams.</t>
  </si>
  <si>
    <t>Zheng2014</t>
  </si>
  <si>
    <t>Zheng, Y., Sun, C., Deng, T., et al. (2014). Arching action contribution to punching failure of GFRP-reinforced concrete bridge deck slabs. Arabian Journal for Science and Engineering, 39(12), 8609–8625.</t>
  </si>
  <si>
    <t>41</t>
  </si>
  <si>
    <t>Zheng2024</t>
  </si>
  <si>
    <t>Zheng, Y., Taylor, S. E., Zhou, L., Grattan, S., Sonebi, M., &amp; Liao, J. (2024). Behavior of basalt-FRP reinforced self-compacting concrete (SCC) deck slabs in a real bridge considering arching action. Case Studies in Construction Materials, 20, e03043. https://doi.org/10.1016/j.cscm.2024.e03043.</t>
  </si>
  <si>
    <t>Zheng2012</t>
  </si>
  <si>
    <t>Zheng, Y., Yu, G.Y., &amp; Pan, Y. (2012). Investigation of ultimate strengths of concrete bridge deck slabs reinforced with GFRP bars. Construction and Building Materials, 28(1), 482-492.</t>
  </si>
  <si>
    <t>R076</t>
  </si>
  <si>
    <t>Zheng2017</t>
  </si>
  <si>
    <t>External restraint comparator</t>
  </si>
  <si>
    <t>Zheng, Y., Yu, T., Yang, J.B., et al. (2017). Investigation of the behaviour of reinforcement-free concrete deck slabs restrained by FRP rods. Engineering Structures, 135, 191-208.</t>
  </si>
  <si>
    <t>Reinforcement-free concrete slabs restrained by external FRP rods; outside internally FRP-bar-reinforced population.</t>
  </si>
  <si>
    <t>40</t>
  </si>
  <si>
    <t>Zheng2019</t>
  </si>
  <si>
    <t>Zheng, Y., Zhou, L., Taylor, S.E., &amp; Ma, H. (2019). Serviceability of one-way high-volume fly ash-self-compacting concrete slabs reinforced with basalt FRP bars. Construction and Building Materials, 217, 108-127.</t>
  </si>
  <si>
    <t>Zheng2018</t>
  </si>
  <si>
    <t>Zheng, Y., Zhou, L.Z., Xia, L.P., et al. (2018). Investigation of the behaviour of SCC bridge deck slabs reinforced with BFRP bars under concentrated loads. Engineering Structures, 171, 500-515.</t>
  </si>
  <si>
    <t>R079</t>
  </si>
  <si>
    <t>Zhou2018</t>
  </si>
  <si>
    <t>Static FE / Thompson Bridge</t>
  </si>
  <si>
    <t>Zhou, L., Zheng, Y., &amp; Taylor, S. E. (2018). Finite-element investigation of the structural behavior of basalt fiber reinforced polymer (BFRP)-reinforced self-compacting concrete (SCC) decks slabs in Thompson Bridge. Polymers, 10(6), 678. https://doi.org/10.3390/polym10060678.</t>
  </si>
  <si>
    <t>Finite-element bridge panel study; numerical outputs excluded from experimental specimen counts.</t>
  </si>
  <si>
    <t>Zhou2020</t>
  </si>
  <si>
    <t>Zhou, L., Dong, P., Zheng, Y., Song, G., &amp; Wang, X. (2020). Investigation of the Structural Behaviors of One-way HVFA-SCC Slabs Reinforced by GFRP Bars. Current Chinese Science, 1(1), 160-182.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</si>
</sst>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0.0%"/>
    <numFmt numFmtId="179" formatCode="0.###"/>
  </numFmts>
  <fonts count="8">
    <font>
      <sz val="11"/>
      <name val="Carlito"/>
    </font>
    <font>
      <sz val="10"/>
      <color rgb="FF172C45"/>
      <name val="Arial"/>
      <family val="2"/>
    </font>
    <font>
      <b/>
      <sz val="15"/>
      <color rgb="FF172C45"/>
      <name val="Arial"/>
      <family val="2"/>
    </font>
    <font>
      <i/>
      <sz val="10"/>
      <color rgb="FF56677A"/>
      <name val="Arial"/>
      <family val="2"/>
    </font>
    <font>
      <b/>
      <sz val="10"/>
      <color rgb="FFFFFFFF"/>
      <name val="Arial"/>
      <family val="2"/>
    </font>
    <font>
      <sz val="10"/>
      <color rgb="FF376896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244A7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EA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4" fillId="2" borderId="0" xfId="1" applyFont="1" applyFill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vertical="top" wrapText="1"/>
    </xf>
    <xf numFmtId="0" fontId="5" fillId="0" borderId="0" xfId="1" applyFont="1" applyAlignment="1">
      <alignment vertical="top" wrapText="1"/>
    </xf>
    <xf numFmtId="176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77" fontId="1" fillId="0" borderId="0" xfId="1" applyNumberFormat="1" applyFont="1" applyAlignment="1">
      <alignment vertical="top" wrapText="1"/>
    </xf>
    <xf numFmtId="177" fontId="1" fillId="0" borderId="0" xfId="1" applyNumberFormat="1" applyFont="1" applyAlignment="1">
      <alignment horizontal="right" vertical="center" wrapText="1"/>
    </xf>
    <xf numFmtId="178" fontId="1" fillId="0" borderId="0" xfId="1" applyNumberFormat="1" applyFont="1" applyAlignment="1">
      <alignment horizontal="right" vertical="center" wrapText="1"/>
    </xf>
    <xf numFmtId="179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4">
    <dxf>
      <font>
        <color rgb="FF805000"/>
      </font>
      <fill>
        <patternFill patternType="solid">
          <bgColor rgb="FFFFF1CC"/>
        </patternFill>
      </fill>
    </dxf>
    <dxf>
      <font>
        <color rgb="FF805000"/>
      </font>
      <fill>
        <patternFill patternType="solid">
          <bgColor rgb="FFFFF1CC"/>
        </patternFill>
      </fill>
    </dxf>
    <dxf>
      <font>
        <color rgb="FF805000"/>
      </font>
      <fill>
        <patternFill patternType="solid">
          <bgColor rgb="FFFFF1CC"/>
        </patternFill>
      </fill>
    </dxf>
    <dxf>
      <font>
        <color rgb="FF805000"/>
      </font>
      <fill>
        <patternFill patternType="solid">
          <bgColor rgb="FFFFF1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yRegisterTable" displayName="StudyRegisterTable" ref="A6:Z37" totalsRowShown="0">
  <autoFilter ref="A6:Z37" xr:uid="{00000000-0009-0000-0100-000001000000}"/>
  <tableColumns count="26">
    <tableColumn id="1" xr3:uid="{00000000-0010-0000-0000-000001000000}" name="Reference ID"/>
    <tableColumn id="2" xr3:uid="{00000000-0010-0000-0000-000002000000}" name="Citation"/>
    <tableColumn id="3" xr3:uid="{00000000-0010-0000-0000-000003000000}" name="Evidence class"/>
    <tableColumn id="4" xr3:uid="{00000000-0010-0000-0000-000004000000}" name="Response topic"/>
    <tableColumn id="5" xr3:uid="{00000000-0010-0000-0000-000005000000}" name="Reported units n"/>
    <tableColumn id="6" xr3:uid="{00000000-0010-0000-0000-000006000000}" name="Count definition"/>
    <tableColumn id="7" xr3:uid="{00000000-0010-0000-0000-000007000000}" name="Named records extracted n"/>
    <tableColumn id="8" xr3:uid="{00000000-0010-0000-0000-000008000000}" name="Test scope"/>
    <tableColumn id="9" xr3:uid="{00000000-0010-0000-0000-000009000000}" name="Geometry / scale"/>
    <tableColumn id="10" xr3:uid="{00000000-0010-0000-0000-00000A000000}" name="Support / restraint"/>
    <tableColumn id="11" xr3:uid="{00000000-0010-0000-0000-00000B000000}" name="Concrete"/>
    <tableColumn id="12" xr3:uid="{00000000-0010-0000-0000-00000C000000}" name="Reinforcement"/>
    <tableColumn id="13" xr3:uid="{00000000-0010-0000-0000-00000D000000}" name="Loading protocol"/>
    <tableColumn id="14" xr3:uid="{00000000-0010-0000-0000-00000E000000}" name="Reported findings"/>
    <tableColumn id="15" xr3:uid="{00000000-0010-0000-0000-00000F000000}" name="FRP units n"/>
    <tableColumn id="16" xr3:uid="{00000000-0010-0000-0000-000010000000}" name="Steel controls n"/>
    <tableColumn id="17" xr3:uid="{00000000-0010-0000-0000-000011000000}" name="Related program group"/>
    <tableColumn id="18" xr3:uid="{00000000-0010-0000-0000-000012000000}" name="Overlap and independence"/>
    <tableColumn id="19" xr3:uid="{00000000-0010-0000-0000-000013000000}" name="Unrecovered data / limitations"/>
    <tableColumn id="20" xr3:uid="{00000000-0010-0000-0000-000014000000}" name="Online publication date"/>
    <tableColumn id="21" xr3:uid="{00000000-0010-0000-0000-000015000000}" name="Issue year"/>
    <tableColumn id="22" xr3:uid="{00000000-0010-0000-0000-000016000000}" name="Original row IDs"/>
    <tableColumn id="23" xr3:uid="{00000000-0010-0000-0000-000017000000}" name="Source verification"/>
    <tableColumn id="24" xr3:uid="{00000000-0010-0000-0000-000018000000}" name="Source locator"/>
    <tableColumn id="25" xr3:uid="{00000000-0010-0000-0000-000019000000}" name="Source URL"/>
    <tableColumn id="26" xr3:uid="{00000000-0010-0000-0000-00001A000000}" name="DO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delBenchmarkTable" displayName="ModelBenchmarkTable" ref="A6:L12" totalsRowShown="0">
  <autoFilter ref="A6:L12" xr:uid="{00000000-0009-0000-0100-000002000000}"/>
  <tableColumns count="12">
    <tableColumn id="1" xr3:uid="{00000000-0010-0000-0100-000001000000}" name="Unit ID"/>
    <tableColumn id="2" xr3:uid="{00000000-0010-0000-0100-000002000000}" name="Reference ID"/>
    <tableColumn id="3" xr3:uid="{00000000-0010-0000-0100-000003000000}" name="Source specimen"/>
    <tableColumn id="4" xr3:uid="{00000000-0010-0000-0100-000004000000}" name="Lateral restraint"/>
    <tableColumn id="5" xr3:uid="{00000000-0010-0000-0100-000005000000}" name="Measured ultimate load (kN)"/>
    <tableColumn id="6" xr3:uid="{00000000-0010-0000-0100-000006000000}" name="Published measured / predicted: CSA S806-12"/>
    <tableColumn id="7" xr3:uid="{00000000-0010-0000-0100-000007000000}" name="Published measured / predicted: ACI440.1R-06"/>
    <tableColumn id="8" xr3:uid="{00000000-0010-0000-0100-000008000000}" name="Reciprocal predicted / measured: CSA"/>
    <tableColumn id="9" xr3:uid="{00000000-0010-0000-0100-000009000000}" name="Reciprocal predicted / measured: ACI"/>
    <tableColumn id="10" xr3:uid="{00000000-0010-0000-0100-00000A000000}" name="Interpretation"/>
    <tableColumn id="11" xr3:uid="{00000000-0010-0000-0100-00000B000000}" name="Source locator"/>
    <tableColumn id="12" xr3:uid="{00000000-0010-0000-0100-00000C000000}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delBenchmarkTableSummary0" displayName="ModelBenchmarkTableSummary0" ref="A16:F20" totalsRowShown="0">
  <tableColumns count="6">
    <tableColumn id="1" xr3:uid="{00000000-0010-0000-0200-000001000000}" name="Model"/>
    <tableColumn id="2" xr3:uid="{00000000-0010-0000-0200-000002000000}" name="Restraint stratum"/>
    <tableColumn id="3" xr3:uid="{00000000-0010-0000-0200-000003000000}" name="n"/>
    <tableColumn id="4" xr3:uid="{00000000-0010-0000-0200-000004000000}" name="Mean measured / predicted"/>
    <tableColumn id="5" xr3:uid="{00000000-0010-0000-0200-000005000000}" name="Sample COV"/>
    <tableColumn id="6" xr3:uid="{00000000-0010-0000-0200-000006000000}" name="Prediction exceeds test: fr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rviceBenchmarkTable" displayName="ServiceBenchmarkTable" ref="A6:I42" totalsRowShown="0">
  <autoFilter ref="A6:I42" xr:uid="{00000000-0009-0000-0100-000004000000}"/>
  <tableColumns count="9">
    <tableColumn id="1" xr3:uid="{00000000-0010-0000-0300-000001000000}" name="Comparison ID"/>
    <tableColumn id="2" xr3:uid="{00000000-0010-0000-0300-000002000000}" name="Reference ID"/>
    <tableColumn id="3" xr3:uid="{00000000-0010-0000-0300-000003000000}" name="Source series"/>
    <tableColumn id="4" xr3:uid="{00000000-0010-0000-0300-000004000000}" name="Load state"/>
    <tableColumn id="5" xr3:uid="{00000000-0010-0000-0300-000005000000}" name="Prediction model"/>
    <tableColumn id="6" xr3:uid="{00000000-0010-0000-0300-000006000000}" name="Published predicted / measured deflection"/>
    <tableColumn id="7" xr3:uid="{00000000-0010-0000-0300-000007000000}" name="Record definition"/>
    <tableColumn id="8" xr3:uid="{00000000-0010-0000-0300-000008000000}" name="Source locator"/>
    <tableColumn id="9" xr3:uid="{00000000-0010-0000-0300-000009000000}" name="Source 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rviceBenchmarkTableSummary0" displayName="ServiceBenchmarkTableSummary0" ref="A47:F53" totalsRowShown="0">
  <tableColumns count="6">
    <tableColumn id="1" xr3:uid="{00000000-0010-0000-0400-000001000000}" name="Model"/>
    <tableColumn id="2" xr3:uid="{00000000-0010-0000-0400-000002000000}" name="Load state"/>
    <tableColumn id="3" xr3:uid="{00000000-0010-0000-0400-000003000000}" name="Series n"/>
    <tableColumn id="4" xr3:uid="{00000000-0010-0000-0400-000004000000}" name="Mean predicted / measured"/>
    <tableColumn id="5" xr3:uid="{00000000-0010-0000-0400-000005000000}" name="Sample COV"/>
    <tableColumn id="6" xr3:uid="{00000000-0010-0000-0400-000006000000}" name="Underpredicted deflection fra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pecimensTable" displayName="SpecimensTable" ref="A6:AI76" totalsRowShown="0">
  <autoFilter ref="A6:AI76" xr:uid="{00000000-0009-0000-0100-000006000000}"/>
  <tableColumns count="35">
    <tableColumn id="1" xr3:uid="{00000000-0010-0000-0500-000001000000}" name="Unit ID"/>
    <tableColumn id="2" xr3:uid="{00000000-0010-0000-0500-000002000000}" name="Reference ID"/>
    <tableColumn id="3" xr3:uid="{00000000-0010-0000-0500-000003000000}" name="Source specimen / unit"/>
    <tableColumn id="4" xr3:uid="{00000000-0010-0000-0500-000004000000}" name="Record type"/>
    <tableColumn id="5" xr3:uid="{00000000-0010-0000-0500-000005000000}" name="Program / bridge ID"/>
    <tableColumn id="6" xr3:uid="{00000000-0010-0000-0500-000006000000}" name="Reinforcement"/>
    <tableColumn id="7" xr3:uid="{00000000-0010-0000-0500-000007000000}" name="Concrete"/>
    <tableColumn id="8" xr3:uid="{00000000-0010-0000-0500-000008000000}" name="Length (mm)"/>
    <tableColumn id="9" xr3:uid="{00000000-0010-0000-0500-000009000000}" name="Width (mm)"/>
    <tableColumn id="10" xr3:uid="{00000000-0010-0000-0500-00000A000000}" name="Thickness h (mm)"/>
    <tableColumn id="11" xr3:uid="{00000000-0010-0000-0500-00000B000000}" name="Effective depth d (mm)"/>
    <tableColumn id="12" xr3:uid="{00000000-0010-0000-0500-00000C000000}" name="Span (mm)"/>
    <tableColumn id="13" xr3:uid="{00000000-0010-0000-0500-00000D000000}" name="Shear span a (mm)"/>
    <tableColumn id="14" xr3:uid="{00000000-0010-0000-0500-00000E000000}" name="a/d"/>
    <tableColumn id="15" xr3:uid="{00000000-0010-0000-0500-00000F000000}" name="Concrete strength (MPa)"/>
    <tableColumn id="16" xr3:uid="{00000000-0010-0000-0500-000010000000}" name="Strength-test basis"/>
    <tableColumn id="17" xr3:uid="{00000000-0010-0000-0500-000011000000}" name="Bar diameter (mm)"/>
    <tableColumn id="18" xr3:uid="{00000000-0010-0000-0500-000012000000}" name="Bar designation"/>
    <tableColumn id="19" xr3:uid="{00000000-0010-0000-0500-000013000000}" name="Bar spacing (mm)"/>
    <tableColumn id="20" xr3:uid="{00000000-0010-0000-0500-000014000000}" name="Reinforcement ratio (%)"/>
    <tableColumn id="21" xr3:uid="{00000000-0010-0000-0500-000015000000}" name="Reinforcement modulus (GPa)"/>
    <tableColumn id="22" xr3:uid="{00000000-0010-0000-0500-000016000000}" name="Bar strength (MPa)"/>
    <tableColumn id="23" xr3:uid="{00000000-0010-0000-0500-000017000000}" name="Bar-strength basis"/>
    <tableColumn id="24" xr3:uid="{00000000-0010-0000-0500-000018000000}" name="Bottom cover (mm)"/>
    <tableColumn id="25" xr3:uid="{00000000-0010-0000-0500-000019000000}" name="Top cover (mm)"/>
    <tableColumn id="26" xr3:uid="{00000000-0010-0000-0500-00001A000000}" name="Contact length (mm)"/>
    <tableColumn id="27" xr3:uid="{00000000-0010-0000-0500-00001B000000}" name="Contact width (mm)"/>
    <tableColumn id="28" xr3:uid="{00000000-0010-0000-0500-00001C000000}" name="Contact diameter (mm)"/>
    <tableColumn id="29" xr3:uid="{00000000-0010-0000-0500-00001D000000}" name="Support / restraint"/>
    <tableColumn id="30" xr3:uid="{00000000-0010-0000-0500-00001E000000}" name="Loading"/>
    <tableColumn id="31" xr3:uid="{00000000-0010-0000-0500-00001F000000}" name="Failure / outcome"/>
    <tableColumn id="32" xr3:uid="{00000000-0010-0000-0500-000020000000}" name="Data limitations and notes"/>
    <tableColumn id="33" xr3:uid="{00000000-0010-0000-0500-000021000000}" name="Verification level"/>
    <tableColumn id="34" xr3:uid="{00000000-0010-0000-0500-000022000000}" name="Source locator"/>
    <tableColumn id="35" xr3:uid="{00000000-0010-0000-0500-000023000000}" name="Source 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xtendedPropertiesTable" displayName="ExtendedPropertiesTable" ref="A6:H112" totalsRowShown="0">
  <autoFilter ref="A6:H112" xr:uid="{00000000-0009-0000-0100-000007000000}"/>
  <tableColumns count="8">
    <tableColumn id="1" xr3:uid="{00000000-0010-0000-0600-000001000000}" name="Unit ID"/>
    <tableColumn id="2" xr3:uid="{00000000-0010-0000-0600-000002000000}" name="Reference ID"/>
    <tableColumn id="3" xr3:uid="{00000000-0010-0000-0600-000003000000}" name="Property"/>
    <tableColumn id="4" xr3:uid="{00000000-0010-0000-0600-000004000000}" name="Reported value"/>
    <tableColumn id="5" xr3:uid="{00000000-0010-0000-0600-000005000000}" name="Unit"/>
    <tableColumn id="6" xr3:uid="{00000000-0010-0000-0600-000006000000}" name="Qualification"/>
    <tableColumn id="7" xr3:uid="{00000000-0010-0000-0600-000007000000}" name="Source locator"/>
    <tableColumn id="8" xr3:uid="{00000000-0010-0000-0600-000008000000}" name="Source UR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estResultsTable" displayName="TestResultsTable" ref="A6:K220" totalsRowShown="0">
  <autoFilter ref="A6:K220" xr:uid="{00000000-0009-0000-0100-000008000000}"/>
  <tableColumns count="11">
    <tableColumn id="1" xr3:uid="{00000000-0010-0000-0700-000001000000}" name="Observation ID"/>
    <tableColumn id="2" xr3:uid="{00000000-0010-0000-0700-000002000000}" name="Unit ID"/>
    <tableColumn id="3" xr3:uid="{00000000-0010-0000-0700-000003000000}" name="Reference ID"/>
    <tableColumn id="4" xr3:uid="{00000000-0010-0000-0700-000004000000}" name="Response measure"/>
    <tableColumn id="5" xr3:uid="{00000000-0010-0000-0700-000005000000}" name="Applied load (kN)"/>
    <tableColumn id="6" xr3:uid="{00000000-0010-0000-0700-000006000000}" name="Reported value"/>
    <tableColumn id="7" xr3:uid="{00000000-0010-0000-0700-000007000000}" name="Unit"/>
    <tableColumn id="8" xr3:uid="{00000000-0010-0000-0700-000008000000}" name="Observation class"/>
    <tableColumn id="9" xr3:uid="{00000000-0010-0000-0700-000009000000}" name="Outcome / qualification"/>
    <tableColumn id="10" xr3:uid="{00000000-0010-0000-0700-00000A000000}" name="Source locator"/>
    <tableColumn id="11" xr3:uid="{00000000-0010-0000-0700-00000B000000}" name="Source UR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odelAuditTable" displayName="ModelAuditTable" ref="A6:I12" totalsRowShown="0">
  <autoFilter ref="A6:I12" xr:uid="{00000000-0009-0000-0100-000009000000}"/>
  <tableColumns count="9">
    <tableColumn id="1" xr3:uid="{00000000-0010-0000-0800-000001000000}" name="Audit ID"/>
    <tableColumn id="2" xr3:uid="{00000000-0010-0000-0800-000002000000}" name="Manuscript location"/>
    <tableColumn id="3" xr3:uid="{00000000-0010-0000-0800-000003000000}" name="Response"/>
    <tableColumn id="4" xr3:uid="{00000000-0010-0000-0800-000004000000}" name="Reference IDs"/>
    <tableColumn id="5" xr3:uid="{00000000-0010-0000-0800-000005000000}" name="Evidence population"/>
    <tableColumn id="6" xr3:uid="{00000000-0010-0000-0800-000006000000}" name="Evidence status"/>
    <tableColumn id="7" xr3:uid="{00000000-0010-0000-0800-000007000000}" name="What is recoverable"/>
    <tableColumn id="8" xr3:uid="{00000000-0010-0000-0800-000008000000}" name="Interpretation boundary"/>
    <tableColumn id="9" xr3:uid="{00000000-0010-0000-0800-000009000000}" name="Required reconcilia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eferenceAuditTable" displayName="ReferenceAuditTable" ref="A6:K86" totalsRowShown="0">
  <autoFilter ref="A6:K86" xr:uid="{00000000-0009-0000-0100-00000A000000}"/>
  <tableColumns count="11">
    <tableColumn id="1" xr3:uid="{00000000-0010-0000-0900-000001000000}" name="Reference ID"/>
    <tableColumn id="2" xr3:uid="{00000000-0010-0000-0900-000002000000}" name="Citation key"/>
    <tableColumn id="3" xr3:uid="{00000000-0010-0000-0900-000003000000}" name="Classification"/>
    <tableColumn id="4" xr3:uid="{00000000-0010-0000-0900-000004000000}" name="Topics"/>
    <tableColumn id="5" xr3:uid="{00000000-0010-0000-0900-000005000000}" name="Original bibliography entry"/>
    <tableColumn id="6" xr3:uid="{00000000-0010-0000-0900-000006000000}" name="Corrected citation, when verified"/>
    <tableColumn id="7" xr3:uid="{00000000-0010-0000-0900-000007000000}" name="Scope and overlap note"/>
    <tableColumn id="8" xr3:uid="{00000000-0010-0000-0900-000008000000}" name="Classification basis"/>
    <tableColumn id="9" xr3:uid="{00000000-0010-0000-0900-000009000000}" name="Verified source URL"/>
    <tableColumn id="10" xr3:uid="{00000000-0010-0000-0900-00000A000000}" name="Original row IDs (including candidates)"/>
    <tableColumn id="11" xr3:uid="{00000000-0010-0000-0900-00000B000000}" name="Use in datab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A70"/>
  </sheetPr>
  <dimension ref="A1:Z37"/>
  <sheetViews>
    <sheetView showGridLines="0" zoomScale="25" zoomScaleNormal="25" workbookViewId="0">
      <pane xSplit="2" ySplit="6" topLeftCell="C16" activePane="bottomRight" state="frozen"/>
      <selection pane="topRight"/>
      <selection pane="bottomLeft"/>
      <selection pane="bottomRight" activeCell="C7" sqref="C7"/>
    </sheetView>
  </sheetViews>
  <sheetFormatPr defaultRowHeight="14.25"/>
  <cols>
    <col min="1" max="1" width="11.125" customWidth="1"/>
    <col min="2" max="2" width="38.875" customWidth="1"/>
    <col min="3" max="3" width="17.25" customWidth="1"/>
    <col min="4" max="4" width="17.75" customWidth="1"/>
    <col min="5" max="5" width="12.25" customWidth="1"/>
    <col min="6" max="6" width="35.5" customWidth="1"/>
    <col min="7" max="7" width="14.5" customWidth="1"/>
    <col min="8" max="8" width="46.625" customWidth="1"/>
    <col min="9" max="10" width="32.25" customWidth="1"/>
    <col min="11" max="11" width="23.375" customWidth="1"/>
    <col min="12" max="12" width="21.125" customWidth="1"/>
    <col min="13" max="13" width="37.75" customWidth="1"/>
    <col min="14" max="14" width="55.5" customWidth="1"/>
    <col min="15" max="16" width="11.125" customWidth="1"/>
    <col min="17" max="17" width="28.875" customWidth="1"/>
    <col min="18" max="19" width="46.625" customWidth="1"/>
    <col min="20" max="20" width="18.875" customWidth="1"/>
    <col min="21" max="21" width="11.125" customWidth="1"/>
    <col min="22" max="22" width="14.5" customWidth="1"/>
    <col min="23" max="23" width="40" customWidth="1"/>
    <col min="24" max="24" width="32.25" customWidth="1"/>
    <col min="25" max="25" width="50" customWidth="1"/>
    <col min="26" max="26" width="31.125" customWidth="1"/>
  </cols>
  <sheetData>
    <row r="1" spans="1:26" ht="27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9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95" customHeight="1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9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" customHeight="1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  <c r="K6" s="5" t="s">
        <v>12</v>
      </c>
      <c r="L6" s="5" t="s">
        <v>13</v>
      </c>
      <c r="M6" s="5" t="s">
        <v>14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19</v>
      </c>
      <c r="S6" s="5" t="s">
        <v>20</v>
      </c>
      <c r="T6" s="5" t="s">
        <v>21</v>
      </c>
      <c r="U6" s="5" t="s">
        <v>22</v>
      </c>
      <c r="V6" s="5" t="s">
        <v>23</v>
      </c>
      <c r="W6" s="5" t="s">
        <v>24</v>
      </c>
      <c r="X6" s="5" t="s">
        <v>25</v>
      </c>
      <c r="Y6" s="5" t="s">
        <v>26</v>
      </c>
      <c r="Z6" s="5" t="s">
        <v>27</v>
      </c>
    </row>
    <row r="7" spans="1:26" ht="62.45" customHeight="1">
      <c r="A7" s="7" t="s">
        <v>28</v>
      </c>
      <c r="B7" s="7" t="s">
        <v>29</v>
      </c>
      <c r="C7" s="7" t="s">
        <v>30</v>
      </c>
      <c r="D7" s="7" t="s">
        <v>31</v>
      </c>
      <c r="E7" s="7">
        <v>22</v>
      </c>
      <c r="F7" s="7" t="s">
        <v>32</v>
      </c>
      <c r="G7" s="7">
        <f>COUNTIFS(Specimens!$B$7:$B$76,A7)</f>
        <v>22</v>
      </c>
      <c r="H7" s="7" t="s">
        <v>33</v>
      </c>
      <c r="I7" s="7" t="s">
        <v>34</v>
      </c>
      <c r="J7" s="7" t="s">
        <v>35</v>
      </c>
      <c r="K7" s="7" t="s">
        <v>36</v>
      </c>
      <c r="L7" s="7" t="s">
        <v>37</v>
      </c>
      <c r="M7" s="7" t="s">
        <v>38</v>
      </c>
      <c r="N7" s="7" t="s">
        <v>39</v>
      </c>
      <c r="O7" s="7">
        <v>21</v>
      </c>
      <c r="P7" s="7">
        <v>1</v>
      </c>
      <c r="Q7" s="7" t="s">
        <v>40</v>
      </c>
      <c r="R7" s="7" t="s">
        <v>41</v>
      </c>
      <c r="S7" s="7" t="s">
        <v>42</v>
      </c>
      <c r="T7" s="7"/>
      <c r="U7" s="7">
        <v>2014</v>
      </c>
      <c r="V7" s="7" t="s">
        <v>43</v>
      </c>
      <c r="W7" s="7" t="s">
        <v>44</v>
      </c>
      <c r="X7" s="7" t="s">
        <v>45</v>
      </c>
      <c r="Y7" s="8" t="s">
        <v>46</v>
      </c>
      <c r="Z7" s="7"/>
    </row>
    <row r="8" spans="1:26" ht="35.25" customHeight="1">
      <c r="A8" s="7" t="s">
        <v>47</v>
      </c>
      <c r="B8" s="7" t="s">
        <v>48</v>
      </c>
      <c r="C8" s="7" t="s">
        <v>30</v>
      </c>
      <c r="D8" s="7" t="s">
        <v>31</v>
      </c>
      <c r="E8" s="7"/>
      <c r="F8" s="7" t="s">
        <v>49</v>
      </c>
      <c r="G8" s="7">
        <f>COUNTIFS(Specimens!$B$7:$B$76,A8)</f>
        <v>0</v>
      </c>
      <c r="H8" s="7" t="s">
        <v>50</v>
      </c>
      <c r="I8" s="7" t="s">
        <v>36</v>
      </c>
      <c r="J8" s="7" t="s">
        <v>36</v>
      </c>
      <c r="K8" s="7" t="s">
        <v>36</v>
      </c>
      <c r="L8" s="7" t="s">
        <v>36</v>
      </c>
      <c r="M8" s="7" t="s">
        <v>36</v>
      </c>
      <c r="N8" s="7" t="s">
        <v>51</v>
      </c>
      <c r="O8" s="7"/>
      <c r="P8" s="7"/>
      <c r="Q8" s="7" t="s">
        <v>40</v>
      </c>
      <c r="R8" s="7" t="s">
        <v>52</v>
      </c>
      <c r="S8" s="7" t="s">
        <v>42</v>
      </c>
      <c r="T8" s="7"/>
      <c r="U8" s="7">
        <v>2016</v>
      </c>
      <c r="V8" s="7" t="s">
        <v>53</v>
      </c>
      <c r="W8" s="7" t="s">
        <v>54</v>
      </c>
      <c r="X8" s="7" t="s">
        <v>55</v>
      </c>
      <c r="Y8" s="8" t="s">
        <v>56</v>
      </c>
      <c r="Z8" s="7" t="s">
        <v>57</v>
      </c>
    </row>
    <row r="9" spans="1:26" ht="35.25" customHeight="1">
      <c r="A9" s="7" t="s">
        <v>58</v>
      </c>
      <c r="B9" s="7" t="s">
        <v>59</v>
      </c>
      <c r="C9" s="7" t="s">
        <v>30</v>
      </c>
      <c r="D9" s="7" t="s">
        <v>31</v>
      </c>
      <c r="E9" s="7"/>
      <c r="F9" s="7" t="s">
        <v>49</v>
      </c>
      <c r="G9" s="7">
        <f>COUNTIFS(Specimens!$B$7:$B$76,A9)</f>
        <v>0</v>
      </c>
      <c r="H9" s="7" t="s">
        <v>60</v>
      </c>
      <c r="I9" s="7" t="s">
        <v>36</v>
      </c>
      <c r="J9" s="7" t="s">
        <v>36</v>
      </c>
      <c r="K9" s="7" t="s">
        <v>36</v>
      </c>
      <c r="L9" s="7" t="s">
        <v>36</v>
      </c>
      <c r="M9" s="7" t="s">
        <v>36</v>
      </c>
      <c r="N9" s="7" t="s">
        <v>51</v>
      </c>
      <c r="O9" s="7"/>
      <c r="P9" s="7"/>
      <c r="Q9" s="7" t="s">
        <v>40</v>
      </c>
      <c r="R9" s="7" t="s">
        <v>61</v>
      </c>
      <c r="S9" s="7" t="s">
        <v>42</v>
      </c>
      <c r="T9" s="7"/>
      <c r="U9" s="7">
        <v>2013</v>
      </c>
      <c r="V9" s="7"/>
      <c r="W9" s="7" t="s">
        <v>62</v>
      </c>
      <c r="X9" s="7" t="s">
        <v>55</v>
      </c>
      <c r="Y9" s="8"/>
      <c r="Z9" s="7"/>
    </row>
    <row r="10" spans="1:26" ht="35.25" customHeight="1">
      <c r="A10" s="7" t="s">
        <v>63</v>
      </c>
      <c r="B10" s="7" t="s">
        <v>64</v>
      </c>
      <c r="C10" s="7" t="s">
        <v>30</v>
      </c>
      <c r="D10" s="7" t="s">
        <v>65</v>
      </c>
      <c r="E10" s="7">
        <v>4</v>
      </c>
      <c r="F10" s="7" t="s">
        <v>32</v>
      </c>
      <c r="G10" s="7">
        <f>COUNTIFS(Specimens!$B$7:$B$76,A10)</f>
        <v>0</v>
      </c>
      <c r="H10" s="7" t="s">
        <v>66</v>
      </c>
      <c r="I10" s="7" t="s">
        <v>67</v>
      </c>
      <c r="J10" s="7" t="s">
        <v>36</v>
      </c>
      <c r="K10" s="7" t="s">
        <v>36</v>
      </c>
      <c r="L10" s="7" t="s">
        <v>36</v>
      </c>
      <c r="M10" s="7" t="s">
        <v>36</v>
      </c>
      <c r="N10" s="7" t="s">
        <v>51</v>
      </c>
      <c r="O10" s="7">
        <v>4</v>
      </c>
      <c r="P10" s="7"/>
      <c r="Q10" s="7"/>
      <c r="R10" s="7" t="s">
        <v>68</v>
      </c>
      <c r="S10" s="7" t="s">
        <v>42</v>
      </c>
      <c r="T10" s="7"/>
      <c r="U10" s="7">
        <v>2023</v>
      </c>
      <c r="V10" s="7" t="s">
        <v>69</v>
      </c>
      <c r="W10" s="7" t="s">
        <v>70</v>
      </c>
      <c r="X10" s="7" t="s">
        <v>55</v>
      </c>
      <c r="Y10" s="8" t="s">
        <v>71</v>
      </c>
      <c r="Z10" s="7" t="s">
        <v>72</v>
      </c>
    </row>
    <row r="11" spans="1:26" ht="48.75" customHeight="1">
      <c r="A11" s="7" t="s">
        <v>73</v>
      </c>
      <c r="B11" s="7" t="s">
        <v>74</v>
      </c>
      <c r="C11" s="7" t="s">
        <v>30</v>
      </c>
      <c r="D11" s="7" t="s">
        <v>75</v>
      </c>
      <c r="E11" s="7">
        <v>14</v>
      </c>
      <c r="F11" s="7" t="s">
        <v>76</v>
      </c>
      <c r="G11" s="7">
        <f>COUNTIFS(Specimens!$B$7:$B$76,A11)</f>
        <v>14</v>
      </c>
      <c r="H11" s="7" t="s">
        <v>77</v>
      </c>
      <c r="I11" s="7" t="s">
        <v>78</v>
      </c>
      <c r="J11" s="7" t="s">
        <v>35</v>
      </c>
      <c r="K11" s="7" t="s">
        <v>36</v>
      </c>
      <c r="L11" s="7" t="s">
        <v>37</v>
      </c>
      <c r="M11" s="7" t="s">
        <v>79</v>
      </c>
      <c r="N11" s="7" t="s">
        <v>80</v>
      </c>
      <c r="O11" s="7">
        <v>12</v>
      </c>
      <c r="P11" s="7">
        <v>2</v>
      </c>
      <c r="Q11" s="7" t="s">
        <v>81</v>
      </c>
      <c r="R11" s="7" t="s">
        <v>82</v>
      </c>
      <c r="S11" s="7" t="s">
        <v>42</v>
      </c>
      <c r="T11" s="7"/>
      <c r="U11" s="7">
        <v>2012</v>
      </c>
      <c r="V11" s="7"/>
      <c r="W11" s="7" t="s">
        <v>83</v>
      </c>
      <c r="X11" s="7" t="s">
        <v>84</v>
      </c>
      <c r="Y11" s="8" t="s">
        <v>85</v>
      </c>
      <c r="Z11" s="7" t="s">
        <v>86</v>
      </c>
    </row>
    <row r="12" spans="1:26" ht="48.75" customHeight="1">
      <c r="A12" s="7" t="s">
        <v>87</v>
      </c>
      <c r="B12" s="7" t="s">
        <v>88</v>
      </c>
      <c r="C12" s="7" t="s">
        <v>30</v>
      </c>
      <c r="D12" s="7" t="s">
        <v>89</v>
      </c>
      <c r="E12" s="7"/>
      <c r="F12" s="7" t="s">
        <v>49</v>
      </c>
      <c r="G12" s="7">
        <f>COUNTIFS(Specimens!$B$7:$B$76,A12)</f>
        <v>0</v>
      </c>
      <c r="H12" s="7" t="s">
        <v>90</v>
      </c>
      <c r="I12" s="7" t="s">
        <v>36</v>
      </c>
      <c r="J12" s="7" t="s">
        <v>36</v>
      </c>
      <c r="K12" s="7" t="s">
        <v>36</v>
      </c>
      <c r="L12" s="7" t="s">
        <v>91</v>
      </c>
      <c r="M12" s="7" t="s">
        <v>92</v>
      </c>
      <c r="N12" s="7" t="s">
        <v>93</v>
      </c>
      <c r="O12" s="7"/>
      <c r="P12" s="7"/>
      <c r="Q12" s="7"/>
      <c r="R12" s="7" t="s">
        <v>94</v>
      </c>
      <c r="S12" s="7" t="s">
        <v>95</v>
      </c>
      <c r="T12" s="7"/>
      <c r="U12" s="7">
        <v>2024</v>
      </c>
      <c r="V12" s="7" t="s">
        <v>96</v>
      </c>
      <c r="W12" s="7" t="s">
        <v>97</v>
      </c>
      <c r="X12" s="7" t="s">
        <v>98</v>
      </c>
      <c r="Y12" s="8" t="s">
        <v>99</v>
      </c>
      <c r="Z12" s="7" t="s">
        <v>100</v>
      </c>
    </row>
    <row r="13" spans="1:26" ht="35.25" customHeight="1">
      <c r="A13" s="7" t="s">
        <v>101</v>
      </c>
      <c r="B13" s="7" t="s">
        <v>102</v>
      </c>
      <c r="C13" s="7" t="s">
        <v>30</v>
      </c>
      <c r="D13" s="7" t="s">
        <v>75</v>
      </c>
      <c r="E13" s="7"/>
      <c r="F13" s="7" t="s">
        <v>49</v>
      </c>
      <c r="G13" s="7">
        <f>COUNTIFS(Specimens!$B$7:$B$76,A13)</f>
        <v>0</v>
      </c>
      <c r="H13" s="7" t="s">
        <v>103</v>
      </c>
      <c r="I13" s="7" t="s">
        <v>36</v>
      </c>
      <c r="J13" s="7" t="s">
        <v>36</v>
      </c>
      <c r="K13" s="7" t="s">
        <v>36</v>
      </c>
      <c r="L13" s="7" t="s">
        <v>36</v>
      </c>
      <c r="M13" s="7" t="s">
        <v>36</v>
      </c>
      <c r="N13" s="7" t="s">
        <v>51</v>
      </c>
      <c r="O13" s="7"/>
      <c r="P13" s="7"/>
      <c r="Q13" s="7" t="s">
        <v>81</v>
      </c>
      <c r="R13" s="7" t="s">
        <v>103</v>
      </c>
      <c r="S13" s="7" t="s">
        <v>104</v>
      </c>
      <c r="T13" s="7"/>
      <c r="U13" s="7">
        <v>2006</v>
      </c>
      <c r="V13" s="7"/>
      <c r="W13" s="7" t="s">
        <v>105</v>
      </c>
      <c r="X13" s="7" t="s">
        <v>55</v>
      </c>
      <c r="Y13" s="8"/>
      <c r="Z13" s="7"/>
    </row>
    <row r="14" spans="1:26" ht="48.75" customHeight="1">
      <c r="A14" s="7" t="s">
        <v>106</v>
      </c>
      <c r="B14" s="7" t="s">
        <v>107</v>
      </c>
      <c r="C14" s="7" t="s">
        <v>108</v>
      </c>
      <c r="D14" s="7" t="s">
        <v>109</v>
      </c>
      <c r="E14" s="7">
        <v>1</v>
      </c>
      <c r="F14" s="7" t="s">
        <v>110</v>
      </c>
      <c r="G14" s="7">
        <f>COUNTIFS(Specimens!$B$7:$B$76,A14)</f>
        <v>1</v>
      </c>
      <c r="H14" s="7" t="s">
        <v>111</v>
      </c>
      <c r="I14" s="7" t="s">
        <v>112</v>
      </c>
      <c r="J14" s="7" t="s">
        <v>36</v>
      </c>
      <c r="K14" s="7" t="s">
        <v>36</v>
      </c>
      <c r="L14" s="7" t="s">
        <v>113</v>
      </c>
      <c r="M14" s="7" t="s">
        <v>114</v>
      </c>
      <c r="N14" s="7" t="s">
        <v>115</v>
      </c>
      <c r="O14" s="7"/>
      <c r="P14" s="7"/>
      <c r="Q14" s="7"/>
      <c r="R14" s="7" t="s">
        <v>111</v>
      </c>
      <c r="S14" s="7" t="s">
        <v>116</v>
      </c>
      <c r="T14" s="7"/>
      <c r="U14" s="7">
        <v>2006</v>
      </c>
      <c r="V14" s="7" t="s">
        <v>117</v>
      </c>
      <c r="W14" s="7" t="s">
        <v>118</v>
      </c>
      <c r="X14" s="7" t="s">
        <v>119</v>
      </c>
      <c r="Y14" s="8" t="s">
        <v>120</v>
      </c>
      <c r="Z14" s="7" t="s">
        <v>121</v>
      </c>
    </row>
    <row r="15" spans="1:26" ht="35.25" customHeight="1">
      <c r="A15" s="7" t="s">
        <v>122</v>
      </c>
      <c r="B15" s="7" t="s">
        <v>123</v>
      </c>
      <c r="C15" s="7" t="s">
        <v>108</v>
      </c>
      <c r="D15" s="7" t="s">
        <v>124</v>
      </c>
      <c r="E15" s="7">
        <v>1</v>
      </c>
      <c r="F15" s="7" t="s">
        <v>125</v>
      </c>
      <c r="G15" s="7">
        <f>COUNTIFS(Specimens!$B$7:$B$76,A15)</f>
        <v>0</v>
      </c>
      <c r="H15" s="7" t="s">
        <v>126</v>
      </c>
      <c r="I15" s="7" t="s">
        <v>36</v>
      </c>
      <c r="J15" s="7" t="s">
        <v>36</v>
      </c>
      <c r="K15" s="7" t="s">
        <v>36</v>
      </c>
      <c r="L15" s="7" t="s">
        <v>127</v>
      </c>
      <c r="M15" s="7" t="s">
        <v>36</v>
      </c>
      <c r="N15" s="7" t="s">
        <v>51</v>
      </c>
      <c r="O15" s="7"/>
      <c r="P15" s="7"/>
      <c r="Q15" s="7"/>
      <c r="R15" s="7" t="s">
        <v>128</v>
      </c>
      <c r="S15" s="7" t="s">
        <v>129</v>
      </c>
      <c r="T15" s="7"/>
      <c r="U15" s="7">
        <v>2006</v>
      </c>
      <c r="V15" s="7" t="s">
        <v>130</v>
      </c>
      <c r="W15" s="7" t="s">
        <v>131</v>
      </c>
      <c r="X15" s="7" t="s">
        <v>55</v>
      </c>
      <c r="Y15" s="8" t="s">
        <v>132</v>
      </c>
      <c r="Z15" s="7" t="s">
        <v>133</v>
      </c>
    </row>
    <row r="16" spans="1:26" ht="35.25" customHeight="1">
      <c r="A16" s="7" t="s">
        <v>134</v>
      </c>
      <c r="B16" s="7" t="s">
        <v>135</v>
      </c>
      <c r="C16" s="7" t="s">
        <v>30</v>
      </c>
      <c r="D16" s="7" t="s">
        <v>136</v>
      </c>
      <c r="E16" s="7">
        <v>8</v>
      </c>
      <c r="F16" s="7" t="s">
        <v>32</v>
      </c>
      <c r="G16" s="7">
        <f>COUNTIFS(Specimens!$B$7:$B$76,A16)</f>
        <v>8</v>
      </c>
      <c r="H16" s="7" t="s">
        <v>137</v>
      </c>
      <c r="I16" s="7" t="s">
        <v>138</v>
      </c>
      <c r="J16" s="7" t="s">
        <v>139</v>
      </c>
      <c r="K16" s="7" t="s">
        <v>36</v>
      </c>
      <c r="L16" s="7" t="s">
        <v>140</v>
      </c>
      <c r="M16" s="7" t="s">
        <v>141</v>
      </c>
      <c r="N16" s="7" t="s">
        <v>142</v>
      </c>
      <c r="O16" s="7">
        <v>7</v>
      </c>
      <c r="P16" s="7">
        <v>1</v>
      </c>
      <c r="Q16" s="7"/>
      <c r="R16" s="7" t="s">
        <v>143</v>
      </c>
      <c r="S16" s="7" t="s">
        <v>42</v>
      </c>
      <c r="T16" s="7"/>
      <c r="U16" s="7">
        <v>2011</v>
      </c>
      <c r="V16" s="7" t="s">
        <v>144</v>
      </c>
      <c r="W16" s="7" t="s">
        <v>105</v>
      </c>
      <c r="X16" s="7" t="s">
        <v>145</v>
      </c>
      <c r="Y16" s="8" t="s">
        <v>146</v>
      </c>
      <c r="Z16" s="7" t="s">
        <v>147</v>
      </c>
    </row>
    <row r="17" spans="1:26" ht="35.25" customHeight="1">
      <c r="A17" s="7" t="s">
        <v>148</v>
      </c>
      <c r="B17" s="7" t="s">
        <v>149</v>
      </c>
      <c r="C17" s="7" t="s">
        <v>30</v>
      </c>
      <c r="D17" s="7" t="s">
        <v>150</v>
      </c>
      <c r="E17" s="7">
        <v>4</v>
      </c>
      <c r="F17" s="7" t="s">
        <v>151</v>
      </c>
      <c r="G17" s="7">
        <f>COUNTIFS(Specimens!$B$7:$B$76,A17)</f>
        <v>0</v>
      </c>
      <c r="H17" s="7" t="s">
        <v>152</v>
      </c>
      <c r="I17" s="7" t="s">
        <v>36</v>
      </c>
      <c r="J17" s="7" t="s">
        <v>36</v>
      </c>
      <c r="K17" s="7" t="s">
        <v>36</v>
      </c>
      <c r="L17" s="7" t="s">
        <v>113</v>
      </c>
      <c r="M17" s="7" t="s">
        <v>153</v>
      </c>
      <c r="N17" s="7" t="s">
        <v>51</v>
      </c>
      <c r="O17" s="7"/>
      <c r="P17" s="7"/>
      <c r="Q17" s="7"/>
      <c r="R17" s="7" t="s">
        <v>154</v>
      </c>
      <c r="S17" s="7" t="s">
        <v>155</v>
      </c>
      <c r="T17" s="7"/>
      <c r="U17" s="7">
        <v>2010</v>
      </c>
      <c r="V17" s="7" t="s">
        <v>156</v>
      </c>
      <c r="W17" s="7" t="s">
        <v>157</v>
      </c>
      <c r="X17" s="7" t="s">
        <v>98</v>
      </c>
      <c r="Y17" s="8" t="s">
        <v>158</v>
      </c>
      <c r="Z17" s="7" t="s">
        <v>159</v>
      </c>
    </row>
    <row r="18" spans="1:26" ht="35.25" customHeight="1">
      <c r="A18" s="7" t="s">
        <v>160</v>
      </c>
      <c r="B18" s="7" t="s">
        <v>161</v>
      </c>
      <c r="C18" s="7" t="s">
        <v>30</v>
      </c>
      <c r="D18" s="7" t="s">
        <v>136</v>
      </c>
      <c r="E18" s="7"/>
      <c r="F18" s="7" t="s">
        <v>49</v>
      </c>
      <c r="G18" s="7">
        <f>COUNTIFS(Specimens!$B$7:$B$76,A18)</f>
        <v>0</v>
      </c>
      <c r="H18" s="7" t="s">
        <v>162</v>
      </c>
      <c r="I18" s="7" t="s">
        <v>36</v>
      </c>
      <c r="J18" s="7" t="s">
        <v>36</v>
      </c>
      <c r="K18" s="7" t="s">
        <v>36</v>
      </c>
      <c r="L18" s="7" t="s">
        <v>36</v>
      </c>
      <c r="M18" s="7" t="s">
        <v>36</v>
      </c>
      <c r="N18" s="7" t="s">
        <v>51</v>
      </c>
      <c r="O18" s="7"/>
      <c r="P18" s="7"/>
      <c r="Q18" s="7" t="s">
        <v>163</v>
      </c>
      <c r="R18" s="7" t="s">
        <v>162</v>
      </c>
      <c r="S18" s="7" t="s">
        <v>104</v>
      </c>
      <c r="T18" s="7"/>
      <c r="U18" s="7">
        <v>2005</v>
      </c>
      <c r="V18" s="7"/>
      <c r="W18" s="7" t="s">
        <v>105</v>
      </c>
      <c r="X18" s="7" t="s">
        <v>55</v>
      </c>
      <c r="Y18" s="8"/>
      <c r="Z18" s="7"/>
    </row>
    <row r="19" spans="1:26" ht="35.25" customHeight="1">
      <c r="A19" s="7" t="s">
        <v>164</v>
      </c>
      <c r="B19" s="7" t="s">
        <v>165</v>
      </c>
      <c r="C19" s="7" t="s">
        <v>30</v>
      </c>
      <c r="D19" s="7" t="s">
        <v>136</v>
      </c>
      <c r="E19" s="7">
        <v>6</v>
      </c>
      <c r="F19" s="7" t="s">
        <v>32</v>
      </c>
      <c r="G19" s="7">
        <f>COUNTIFS(Specimens!$B$7:$B$76,A19)</f>
        <v>0</v>
      </c>
      <c r="H19" s="7" t="s">
        <v>166</v>
      </c>
      <c r="I19" s="7" t="s">
        <v>167</v>
      </c>
      <c r="J19" s="7" t="s">
        <v>36</v>
      </c>
      <c r="K19" s="7" t="s">
        <v>36</v>
      </c>
      <c r="L19" s="7" t="s">
        <v>36</v>
      </c>
      <c r="M19" s="7" t="s">
        <v>36</v>
      </c>
      <c r="N19" s="7" t="s">
        <v>51</v>
      </c>
      <c r="O19" s="7">
        <v>5</v>
      </c>
      <c r="P19" s="7">
        <v>1</v>
      </c>
      <c r="Q19" s="7" t="s">
        <v>163</v>
      </c>
      <c r="R19" s="7" t="s">
        <v>168</v>
      </c>
      <c r="S19" s="7" t="s">
        <v>42</v>
      </c>
      <c r="T19" s="7"/>
      <c r="U19" s="7">
        <v>2005</v>
      </c>
      <c r="V19" s="7" t="s">
        <v>169</v>
      </c>
      <c r="W19" s="7" t="s">
        <v>170</v>
      </c>
      <c r="X19" s="7" t="s">
        <v>55</v>
      </c>
      <c r="Y19" s="8" t="s">
        <v>171</v>
      </c>
      <c r="Z19" s="7"/>
    </row>
    <row r="20" spans="1:26" ht="35.25" customHeight="1">
      <c r="A20" s="7" t="s">
        <v>172</v>
      </c>
      <c r="B20" s="7" t="s">
        <v>173</v>
      </c>
      <c r="C20" s="7" t="s">
        <v>30</v>
      </c>
      <c r="D20" s="7" t="s">
        <v>174</v>
      </c>
      <c r="E20" s="7">
        <v>4</v>
      </c>
      <c r="F20" s="7" t="s">
        <v>175</v>
      </c>
      <c r="G20" s="7">
        <f>COUNTIFS(Specimens!$B$7:$B$76,A20)</f>
        <v>0</v>
      </c>
      <c r="H20" s="7" t="s">
        <v>176</v>
      </c>
      <c r="I20" s="7" t="s">
        <v>36</v>
      </c>
      <c r="J20" s="7" t="s">
        <v>36</v>
      </c>
      <c r="K20" s="7" t="s">
        <v>36</v>
      </c>
      <c r="L20" s="7" t="s">
        <v>177</v>
      </c>
      <c r="M20" s="7" t="s">
        <v>178</v>
      </c>
      <c r="N20" s="7" t="s">
        <v>51</v>
      </c>
      <c r="O20" s="7"/>
      <c r="P20" s="7"/>
      <c r="Q20" s="7"/>
      <c r="R20" s="7" t="s">
        <v>179</v>
      </c>
      <c r="S20" s="7" t="s">
        <v>180</v>
      </c>
      <c r="T20" s="7"/>
      <c r="U20" s="7">
        <v>2011</v>
      </c>
      <c r="V20" s="7"/>
      <c r="W20" s="7" t="s">
        <v>181</v>
      </c>
      <c r="X20" s="7" t="s">
        <v>182</v>
      </c>
      <c r="Y20" s="8" t="s">
        <v>183</v>
      </c>
      <c r="Z20" s="7" t="s">
        <v>184</v>
      </c>
    </row>
    <row r="21" spans="1:26" ht="35.25" customHeight="1">
      <c r="A21" s="7" t="s">
        <v>185</v>
      </c>
      <c r="B21" s="7" t="s">
        <v>186</v>
      </c>
      <c r="C21" s="7" t="s">
        <v>108</v>
      </c>
      <c r="D21" s="7" t="s">
        <v>187</v>
      </c>
      <c r="E21" s="7"/>
      <c r="F21" s="7" t="s">
        <v>49</v>
      </c>
      <c r="G21" s="7">
        <f>COUNTIFS(Specimens!$B$7:$B$76,A21)</f>
        <v>0</v>
      </c>
      <c r="H21" s="7" t="s">
        <v>188</v>
      </c>
      <c r="I21" s="7" t="s">
        <v>36</v>
      </c>
      <c r="J21" s="7" t="s">
        <v>36</v>
      </c>
      <c r="K21" s="7" t="s">
        <v>36</v>
      </c>
      <c r="L21" s="7" t="s">
        <v>189</v>
      </c>
      <c r="M21" s="7" t="s">
        <v>36</v>
      </c>
      <c r="N21" s="7" t="s">
        <v>51</v>
      </c>
      <c r="O21" s="7"/>
      <c r="P21" s="7"/>
      <c r="Q21" s="7"/>
      <c r="R21" s="7" t="s">
        <v>190</v>
      </c>
      <c r="S21" s="7" t="s">
        <v>191</v>
      </c>
      <c r="T21" s="7"/>
      <c r="U21" s="7">
        <v>2003</v>
      </c>
      <c r="V21" s="7"/>
      <c r="W21" s="7" t="s">
        <v>192</v>
      </c>
      <c r="X21" s="7" t="s">
        <v>55</v>
      </c>
      <c r="Y21" s="8"/>
      <c r="Z21" s="7"/>
    </row>
    <row r="22" spans="1:26" ht="35.25" customHeight="1">
      <c r="A22" s="7" t="s">
        <v>193</v>
      </c>
      <c r="B22" s="7" t="s">
        <v>194</v>
      </c>
      <c r="C22" s="7" t="s">
        <v>30</v>
      </c>
      <c r="D22" s="7" t="s">
        <v>195</v>
      </c>
      <c r="E22" s="7">
        <v>5</v>
      </c>
      <c r="F22" s="7" t="s">
        <v>196</v>
      </c>
      <c r="G22" s="7">
        <f>COUNTIFS(Specimens!$B$7:$B$76,A22)</f>
        <v>0</v>
      </c>
      <c r="H22" s="7" t="s">
        <v>197</v>
      </c>
      <c r="I22" s="7" t="s">
        <v>36</v>
      </c>
      <c r="J22" s="7" t="s">
        <v>36</v>
      </c>
      <c r="K22" s="7" t="s">
        <v>36</v>
      </c>
      <c r="L22" s="7" t="s">
        <v>198</v>
      </c>
      <c r="M22" s="7" t="s">
        <v>199</v>
      </c>
      <c r="N22" s="7" t="s">
        <v>51</v>
      </c>
      <c r="O22" s="7"/>
      <c r="P22" s="7"/>
      <c r="Q22" s="7" t="s">
        <v>200</v>
      </c>
      <c r="R22" s="7" t="s">
        <v>201</v>
      </c>
      <c r="S22" s="7" t="s">
        <v>202</v>
      </c>
      <c r="T22" s="7"/>
      <c r="U22" s="7">
        <v>2007</v>
      </c>
      <c r="V22" s="7" t="s">
        <v>203</v>
      </c>
      <c r="W22" s="7" t="s">
        <v>204</v>
      </c>
      <c r="X22" s="7" t="s">
        <v>205</v>
      </c>
      <c r="Y22" s="8" t="s">
        <v>206</v>
      </c>
      <c r="Z22" s="7" t="s">
        <v>207</v>
      </c>
    </row>
    <row r="23" spans="1:26" ht="35.25" customHeight="1">
      <c r="A23" s="7" t="s">
        <v>208</v>
      </c>
      <c r="B23" s="7" t="s">
        <v>209</v>
      </c>
      <c r="C23" s="7" t="s">
        <v>30</v>
      </c>
      <c r="D23" s="7" t="s">
        <v>210</v>
      </c>
      <c r="E23" s="7">
        <v>10</v>
      </c>
      <c r="F23" s="7" t="s">
        <v>32</v>
      </c>
      <c r="G23" s="7">
        <f>COUNTIFS(Specimens!$B$7:$B$76,A23)</f>
        <v>0</v>
      </c>
      <c r="H23" s="7" t="s">
        <v>211</v>
      </c>
      <c r="I23" s="7" t="s">
        <v>212</v>
      </c>
      <c r="J23" s="7" t="s">
        <v>36</v>
      </c>
      <c r="K23" s="7" t="s">
        <v>36</v>
      </c>
      <c r="L23" s="7" t="s">
        <v>36</v>
      </c>
      <c r="M23" s="7" t="s">
        <v>36</v>
      </c>
      <c r="N23" s="7" t="s">
        <v>51</v>
      </c>
      <c r="O23" s="7">
        <v>8</v>
      </c>
      <c r="P23" s="7">
        <v>2</v>
      </c>
      <c r="Q23" s="7" t="s">
        <v>213</v>
      </c>
      <c r="R23" s="7" t="s">
        <v>214</v>
      </c>
      <c r="S23" s="7" t="s">
        <v>42</v>
      </c>
      <c r="T23" s="7"/>
      <c r="U23" s="7">
        <v>2004</v>
      </c>
      <c r="V23" s="7"/>
      <c r="W23" s="7" t="s">
        <v>215</v>
      </c>
      <c r="X23" s="7" t="s">
        <v>55</v>
      </c>
      <c r="Y23" s="8" t="s">
        <v>216</v>
      </c>
      <c r="Z23" s="7" t="s">
        <v>217</v>
      </c>
    </row>
    <row r="24" spans="1:26" ht="35.25" customHeight="1">
      <c r="A24" s="7" t="s">
        <v>218</v>
      </c>
      <c r="B24" s="7" t="s">
        <v>219</v>
      </c>
      <c r="C24" s="7" t="s">
        <v>108</v>
      </c>
      <c r="D24" s="7" t="s">
        <v>220</v>
      </c>
      <c r="E24" s="7">
        <v>1</v>
      </c>
      <c r="F24" s="7" t="s">
        <v>221</v>
      </c>
      <c r="G24" s="7">
        <f>COUNTIFS(Specimens!$B$7:$B$76,A24)</f>
        <v>2</v>
      </c>
      <c r="H24" s="7" t="s">
        <v>222</v>
      </c>
      <c r="I24" s="7" t="s">
        <v>223</v>
      </c>
      <c r="J24" s="7" t="s">
        <v>36</v>
      </c>
      <c r="K24" s="7" t="s">
        <v>36</v>
      </c>
      <c r="L24" s="7" t="s">
        <v>224</v>
      </c>
      <c r="M24" s="7" t="s">
        <v>36</v>
      </c>
      <c r="N24" s="7" t="s">
        <v>115</v>
      </c>
      <c r="O24" s="7"/>
      <c r="P24" s="7"/>
      <c r="Q24" s="7"/>
      <c r="R24" s="7" t="s">
        <v>222</v>
      </c>
      <c r="S24" s="7" t="s">
        <v>225</v>
      </c>
      <c r="T24" s="7"/>
      <c r="U24" s="7">
        <v>2005</v>
      </c>
      <c r="V24" s="7" t="s">
        <v>226</v>
      </c>
      <c r="W24" s="7" t="s">
        <v>227</v>
      </c>
      <c r="X24" s="7" t="s">
        <v>228</v>
      </c>
      <c r="Y24" s="8" t="s">
        <v>229</v>
      </c>
      <c r="Z24" s="7" t="s">
        <v>230</v>
      </c>
    </row>
    <row r="25" spans="1:26" ht="48.75" customHeight="1">
      <c r="A25" s="7" t="s">
        <v>231</v>
      </c>
      <c r="B25" s="7" t="s">
        <v>232</v>
      </c>
      <c r="C25" s="7" t="s">
        <v>30</v>
      </c>
      <c r="D25" s="7" t="s">
        <v>31</v>
      </c>
      <c r="E25" s="7">
        <v>8</v>
      </c>
      <c r="F25" s="7" t="s">
        <v>32</v>
      </c>
      <c r="G25" s="7">
        <f>COUNTIFS(Specimens!$B$7:$B$76,A25)</f>
        <v>0</v>
      </c>
      <c r="H25" s="7" t="s">
        <v>233</v>
      </c>
      <c r="I25" s="7" t="s">
        <v>234</v>
      </c>
      <c r="J25" s="7" t="s">
        <v>36</v>
      </c>
      <c r="K25" s="7" t="s">
        <v>36</v>
      </c>
      <c r="L25" s="7" t="s">
        <v>36</v>
      </c>
      <c r="M25" s="7" t="s">
        <v>36</v>
      </c>
      <c r="N25" s="7" t="s">
        <v>51</v>
      </c>
      <c r="O25" s="7">
        <v>8</v>
      </c>
      <c r="P25" s="7"/>
      <c r="Q25" s="7" t="s">
        <v>213</v>
      </c>
      <c r="R25" s="7" t="s">
        <v>235</v>
      </c>
      <c r="S25" s="7" t="s">
        <v>42</v>
      </c>
      <c r="T25" s="7"/>
      <c r="U25" s="7">
        <v>2005</v>
      </c>
      <c r="V25" s="7"/>
      <c r="W25" s="7" t="s">
        <v>236</v>
      </c>
      <c r="X25" s="7" t="s">
        <v>55</v>
      </c>
      <c r="Y25" s="8" t="s">
        <v>237</v>
      </c>
      <c r="Z25" s="7" t="s">
        <v>238</v>
      </c>
    </row>
    <row r="26" spans="1:26" ht="35.25" customHeight="1">
      <c r="A26" s="7" t="s">
        <v>239</v>
      </c>
      <c r="B26" s="7" t="s">
        <v>240</v>
      </c>
      <c r="C26" s="7" t="s">
        <v>30</v>
      </c>
      <c r="D26" s="7" t="s">
        <v>136</v>
      </c>
      <c r="E26" s="7">
        <v>7</v>
      </c>
      <c r="F26" s="7" t="s">
        <v>32</v>
      </c>
      <c r="G26" s="7">
        <f>COUNTIFS(Specimens!$B$7:$B$76,A26)</f>
        <v>7</v>
      </c>
      <c r="H26" s="7" t="s">
        <v>241</v>
      </c>
      <c r="I26" s="7" t="s">
        <v>242</v>
      </c>
      <c r="J26" s="7" t="s">
        <v>243</v>
      </c>
      <c r="K26" s="7" t="s">
        <v>36</v>
      </c>
      <c r="L26" s="7" t="s">
        <v>244</v>
      </c>
      <c r="M26" s="7" t="s">
        <v>141</v>
      </c>
      <c r="N26" s="7" t="s">
        <v>245</v>
      </c>
      <c r="O26" s="7">
        <v>6</v>
      </c>
      <c r="P26" s="7">
        <v>1</v>
      </c>
      <c r="Q26" s="7"/>
      <c r="R26" s="7" t="s">
        <v>246</v>
      </c>
      <c r="S26" s="7" t="s">
        <v>42</v>
      </c>
      <c r="T26" s="7"/>
      <c r="U26" s="7">
        <v>2016</v>
      </c>
      <c r="V26" s="7" t="s">
        <v>247</v>
      </c>
      <c r="W26" s="7" t="s">
        <v>248</v>
      </c>
      <c r="X26" s="7" t="s">
        <v>249</v>
      </c>
      <c r="Y26" s="8" t="s">
        <v>250</v>
      </c>
      <c r="Z26" s="7" t="s">
        <v>251</v>
      </c>
    </row>
    <row r="27" spans="1:26" ht="48.75" customHeight="1">
      <c r="A27" s="7" t="s">
        <v>252</v>
      </c>
      <c r="B27" s="7" t="s">
        <v>253</v>
      </c>
      <c r="C27" s="7" t="s">
        <v>30</v>
      </c>
      <c r="D27" s="7" t="s">
        <v>254</v>
      </c>
      <c r="E27" s="7">
        <v>1</v>
      </c>
      <c r="F27" s="7" t="s">
        <v>255</v>
      </c>
      <c r="G27" s="7">
        <f>COUNTIFS(Specimens!$B$7:$B$76,A27)</f>
        <v>2</v>
      </c>
      <c r="H27" s="7" t="s">
        <v>256</v>
      </c>
      <c r="I27" s="7" t="s">
        <v>257</v>
      </c>
      <c r="J27" s="7" t="s">
        <v>36</v>
      </c>
      <c r="K27" s="7" t="s">
        <v>36</v>
      </c>
      <c r="L27" s="7" t="s">
        <v>113</v>
      </c>
      <c r="M27" s="7" t="s">
        <v>258</v>
      </c>
      <c r="N27" s="7" t="s">
        <v>259</v>
      </c>
      <c r="O27" s="7"/>
      <c r="P27" s="7"/>
      <c r="Q27" s="7"/>
      <c r="R27" s="7" t="s">
        <v>260</v>
      </c>
      <c r="S27" s="7" t="s">
        <v>261</v>
      </c>
      <c r="T27" s="7"/>
      <c r="U27" s="7">
        <v>2024</v>
      </c>
      <c r="V27" s="7"/>
      <c r="W27" s="7" t="s">
        <v>157</v>
      </c>
      <c r="X27" s="7" t="s">
        <v>98</v>
      </c>
      <c r="Y27" s="8" t="s">
        <v>262</v>
      </c>
      <c r="Z27" s="7" t="s">
        <v>263</v>
      </c>
    </row>
    <row r="28" spans="1:26" ht="35.25" customHeight="1">
      <c r="A28" s="7" t="s">
        <v>264</v>
      </c>
      <c r="B28" s="7" t="s">
        <v>265</v>
      </c>
      <c r="C28" s="7" t="s">
        <v>30</v>
      </c>
      <c r="D28" s="7" t="s">
        <v>266</v>
      </c>
      <c r="E28" s="7"/>
      <c r="F28" s="7" t="s">
        <v>49</v>
      </c>
      <c r="G28" s="7">
        <f>COUNTIFS(Specimens!$B$7:$B$76,A28)</f>
        <v>0</v>
      </c>
      <c r="H28" s="7" t="s">
        <v>267</v>
      </c>
      <c r="I28" s="7" t="s">
        <v>36</v>
      </c>
      <c r="J28" s="7" t="s">
        <v>36</v>
      </c>
      <c r="K28" s="7" t="s">
        <v>36</v>
      </c>
      <c r="L28" s="7" t="s">
        <v>268</v>
      </c>
      <c r="M28" s="7" t="s">
        <v>269</v>
      </c>
      <c r="N28" s="7" t="s">
        <v>51</v>
      </c>
      <c r="O28" s="7"/>
      <c r="P28" s="7"/>
      <c r="Q28" s="7"/>
      <c r="R28" s="7" t="s">
        <v>270</v>
      </c>
      <c r="S28" s="7" t="s">
        <v>271</v>
      </c>
      <c r="T28" s="7"/>
      <c r="U28" s="7">
        <v>2017</v>
      </c>
      <c r="V28" s="7"/>
      <c r="W28" s="7" t="s">
        <v>181</v>
      </c>
      <c r="X28" s="7" t="s">
        <v>98</v>
      </c>
      <c r="Y28" s="8" t="s">
        <v>272</v>
      </c>
      <c r="Z28" s="7" t="s">
        <v>273</v>
      </c>
    </row>
    <row r="29" spans="1:26" ht="35.25" customHeight="1">
      <c r="A29" s="7" t="s">
        <v>274</v>
      </c>
      <c r="B29" s="7" t="s">
        <v>275</v>
      </c>
      <c r="C29" s="7" t="s">
        <v>30</v>
      </c>
      <c r="D29" s="7" t="s">
        <v>276</v>
      </c>
      <c r="E29" s="7"/>
      <c r="F29" s="7" t="s">
        <v>49</v>
      </c>
      <c r="G29" s="7">
        <f>COUNTIFS(Specimens!$B$7:$B$76,A29)</f>
        <v>0</v>
      </c>
      <c r="H29" s="7" t="s">
        <v>277</v>
      </c>
      <c r="I29" s="7" t="s">
        <v>36</v>
      </c>
      <c r="J29" s="7" t="s">
        <v>36</v>
      </c>
      <c r="K29" s="7" t="s">
        <v>36</v>
      </c>
      <c r="L29" s="7" t="s">
        <v>36</v>
      </c>
      <c r="M29" s="7" t="s">
        <v>36</v>
      </c>
      <c r="N29" s="7" t="s">
        <v>51</v>
      </c>
      <c r="O29" s="7"/>
      <c r="P29" s="7"/>
      <c r="Q29" s="7"/>
      <c r="R29" s="7" t="s">
        <v>277</v>
      </c>
      <c r="S29" s="7" t="s">
        <v>104</v>
      </c>
      <c r="T29" s="7"/>
      <c r="U29" s="7">
        <v>2014</v>
      </c>
      <c r="V29" s="7"/>
      <c r="W29" s="7" t="s">
        <v>105</v>
      </c>
      <c r="X29" s="7" t="s">
        <v>55</v>
      </c>
      <c r="Y29" s="8"/>
      <c r="Z29" s="7"/>
    </row>
    <row r="30" spans="1:26" ht="35.25" customHeight="1">
      <c r="A30" s="7" t="s">
        <v>278</v>
      </c>
      <c r="B30" s="7" t="s">
        <v>279</v>
      </c>
      <c r="C30" s="7" t="s">
        <v>30</v>
      </c>
      <c r="D30" s="7" t="s">
        <v>280</v>
      </c>
      <c r="E30" s="7">
        <v>8</v>
      </c>
      <c r="F30" s="7" t="s">
        <v>32</v>
      </c>
      <c r="G30" s="7">
        <f>COUNTIFS(Specimens!$B$7:$B$76,A30)</f>
        <v>8</v>
      </c>
      <c r="H30" s="7" t="s">
        <v>281</v>
      </c>
      <c r="I30" s="7" t="s">
        <v>282</v>
      </c>
      <c r="J30" s="7" t="s">
        <v>35</v>
      </c>
      <c r="K30" s="7" t="s">
        <v>36</v>
      </c>
      <c r="L30" s="7" t="s">
        <v>283</v>
      </c>
      <c r="M30" s="7" t="s">
        <v>284</v>
      </c>
      <c r="N30" s="7" t="s">
        <v>285</v>
      </c>
      <c r="O30" s="7">
        <v>6</v>
      </c>
      <c r="P30" s="7">
        <v>2</v>
      </c>
      <c r="Q30" s="7"/>
      <c r="R30" s="7" t="s">
        <v>286</v>
      </c>
      <c r="S30" s="7" t="s">
        <v>42</v>
      </c>
      <c r="T30" s="7"/>
      <c r="U30" s="7">
        <v>1998</v>
      </c>
      <c r="V30" s="7"/>
      <c r="W30" s="7" t="s">
        <v>287</v>
      </c>
      <c r="X30" s="7" t="s">
        <v>288</v>
      </c>
      <c r="Y30" s="8" t="s">
        <v>289</v>
      </c>
      <c r="Z30" s="7" t="s">
        <v>290</v>
      </c>
    </row>
    <row r="31" spans="1:26" ht="35.25" customHeight="1">
      <c r="A31" s="7" t="s">
        <v>291</v>
      </c>
      <c r="B31" s="7" t="s">
        <v>292</v>
      </c>
      <c r="C31" s="7" t="s">
        <v>108</v>
      </c>
      <c r="D31" s="7" t="s">
        <v>293</v>
      </c>
      <c r="E31" s="7"/>
      <c r="F31" s="7" t="s">
        <v>49</v>
      </c>
      <c r="G31" s="7">
        <f>COUNTIFS(Specimens!$B$7:$B$76,A31)</f>
        <v>0</v>
      </c>
      <c r="H31" s="7" t="s">
        <v>294</v>
      </c>
      <c r="I31" s="7" t="s">
        <v>36</v>
      </c>
      <c r="J31" s="7" t="s">
        <v>36</v>
      </c>
      <c r="K31" s="7" t="s">
        <v>36</v>
      </c>
      <c r="L31" s="7" t="s">
        <v>36</v>
      </c>
      <c r="M31" s="7" t="s">
        <v>36</v>
      </c>
      <c r="N31" s="7" t="s">
        <v>51</v>
      </c>
      <c r="O31" s="7"/>
      <c r="P31" s="7"/>
      <c r="Q31" s="7"/>
      <c r="R31" s="7" t="s">
        <v>294</v>
      </c>
      <c r="S31" s="7" t="s">
        <v>104</v>
      </c>
      <c r="T31" s="7"/>
      <c r="U31" s="7">
        <v>2019</v>
      </c>
      <c r="V31" s="7"/>
      <c r="W31" s="7" t="s">
        <v>105</v>
      </c>
      <c r="X31" s="7" t="s">
        <v>55</v>
      </c>
      <c r="Y31" s="8"/>
      <c r="Z31" s="7"/>
    </row>
    <row r="32" spans="1:26" ht="35.25" customHeight="1">
      <c r="A32" s="7" t="s">
        <v>295</v>
      </c>
      <c r="B32" s="7" t="s">
        <v>296</v>
      </c>
      <c r="C32" s="7" t="s">
        <v>30</v>
      </c>
      <c r="D32" s="7" t="s">
        <v>136</v>
      </c>
      <c r="E32" s="7"/>
      <c r="F32" s="7" t="s">
        <v>49</v>
      </c>
      <c r="G32" s="7">
        <f>COUNTIFS(Specimens!$B$7:$B$76,A32)</f>
        <v>0</v>
      </c>
      <c r="H32" s="7" t="s">
        <v>297</v>
      </c>
      <c r="I32" s="7" t="s">
        <v>298</v>
      </c>
      <c r="J32" s="7" t="s">
        <v>36</v>
      </c>
      <c r="K32" s="7" t="s">
        <v>299</v>
      </c>
      <c r="L32" s="7" t="s">
        <v>113</v>
      </c>
      <c r="M32" s="7" t="s">
        <v>300</v>
      </c>
      <c r="N32" s="7" t="s">
        <v>301</v>
      </c>
      <c r="O32" s="7"/>
      <c r="P32" s="7"/>
      <c r="Q32" s="7" t="s">
        <v>302</v>
      </c>
      <c r="R32" s="7" t="s">
        <v>303</v>
      </c>
      <c r="S32" s="7" t="s">
        <v>304</v>
      </c>
      <c r="T32" s="7"/>
      <c r="U32" s="7">
        <v>2014</v>
      </c>
      <c r="V32" s="7"/>
      <c r="W32" s="7" t="s">
        <v>305</v>
      </c>
      <c r="X32" s="7" t="s">
        <v>306</v>
      </c>
      <c r="Y32" s="8" t="s">
        <v>307</v>
      </c>
      <c r="Z32" s="7" t="s">
        <v>308</v>
      </c>
    </row>
    <row r="33" spans="1:26" ht="35.25" customHeight="1">
      <c r="A33" s="7" t="s">
        <v>309</v>
      </c>
      <c r="B33" s="7" t="s">
        <v>310</v>
      </c>
      <c r="C33" s="7" t="s">
        <v>108</v>
      </c>
      <c r="D33" s="7" t="s">
        <v>311</v>
      </c>
      <c r="E33" s="7">
        <v>6</v>
      </c>
      <c r="F33" s="7" t="s">
        <v>32</v>
      </c>
      <c r="G33" s="7">
        <f>COUNTIFS(Specimens!$B$7:$B$76,A33)</f>
        <v>6</v>
      </c>
      <c r="H33" s="7" t="s">
        <v>312</v>
      </c>
      <c r="I33" s="7" t="s">
        <v>313</v>
      </c>
      <c r="J33" s="7" t="s">
        <v>314</v>
      </c>
      <c r="K33" s="7" t="s">
        <v>315</v>
      </c>
      <c r="L33" s="7" t="s">
        <v>316</v>
      </c>
      <c r="M33" s="7" t="s">
        <v>317</v>
      </c>
      <c r="N33" s="7" t="s">
        <v>318</v>
      </c>
      <c r="O33" s="7">
        <v>4</v>
      </c>
      <c r="P33" s="7">
        <v>2</v>
      </c>
      <c r="Q33" s="7" t="s">
        <v>319</v>
      </c>
      <c r="R33" s="7" t="s">
        <v>320</v>
      </c>
      <c r="S33" s="7" t="s">
        <v>321</v>
      </c>
      <c r="T33" s="7"/>
      <c r="U33" s="7">
        <v>2024</v>
      </c>
      <c r="V33" s="7" t="s">
        <v>322</v>
      </c>
      <c r="W33" s="7" t="s">
        <v>323</v>
      </c>
      <c r="X33" s="7" t="s">
        <v>324</v>
      </c>
      <c r="Y33" s="8" t="s">
        <v>325</v>
      </c>
      <c r="Z33" s="7" t="s">
        <v>326</v>
      </c>
    </row>
    <row r="34" spans="1:26" ht="35.25" customHeight="1">
      <c r="A34" s="7" t="s">
        <v>327</v>
      </c>
      <c r="B34" s="7" t="s">
        <v>328</v>
      </c>
      <c r="C34" s="7" t="s">
        <v>30</v>
      </c>
      <c r="D34" s="7" t="s">
        <v>136</v>
      </c>
      <c r="E34" s="7"/>
      <c r="F34" s="7" t="s">
        <v>49</v>
      </c>
      <c r="G34" s="7">
        <f>COUNTIFS(Specimens!$B$7:$B$76,A34)</f>
        <v>0</v>
      </c>
      <c r="H34" s="7" t="s">
        <v>329</v>
      </c>
      <c r="I34" s="7" t="s">
        <v>298</v>
      </c>
      <c r="J34" s="7" t="s">
        <v>36</v>
      </c>
      <c r="K34" s="7" t="s">
        <v>36</v>
      </c>
      <c r="L34" s="7" t="s">
        <v>113</v>
      </c>
      <c r="M34" s="7" t="s">
        <v>330</v>
      </c>
      <c r="N34" s="7" t="s">
        <v>51</v>
      </c>
      <c r="O34" s="7"/>
      <c r="P34" s="7"/>
      <c r="Q34" s="7" t="s">
        <v>302</v>
      </c>
      <c r="R34" s="7" t="s">
        <v>331</v>
      </c>
      <c r="S34" s="7" t="s">
        <v>332</v>
      </c>
      <c r="T34" s="7"/>
      <c r="U34" s="7">
        <v>2012</v>
      </c>
      <c r="V34" s="7" t="s">
        <v>333</v>
      </c>
      <c r="W34" s="7" t="s">
        <v>334</v>
      </c>
      <c r="X34" s="7" t="s">
        <v>335</v>
      </c>
      <c r="Y34" s="8" t="s">
        <v>336</v>
      </c>
      <c r="Z34" s="7" t="s">
        <v>337</v>
      </c>
    </row>
    <row r="35" spans="1:26" ht="48.75" customHeight="1">
      <c r="A35" s="7" t="s">
        <v>338</v>
      </c>
      <c r="B35" s="7" t="s">
        <v>339</v>
      </c>
      <c r="C35" s="7" t="s">
        <v>30</v>
      </c>
      <c r="D35" s="7" t="s">
        <v>210</v>
      </c>
      <c r="E35" s="7"/>
      <c r="F35" s="7" t="s">
        <v>49</v>
      </c>
      <c r="G35" s="7">
        <f>COUNTIFS(Specimens!$B$7:$B$76,A35)</f>
        <v>0</v>
      </c>
      <c r="H35" s="7" t="s">
        <v>340</v>
      </c>
      <c r="I35" s="7" t="s">
        <v>341</v>
      </c>
      <c r="J35" s="7" t="s">
        <v>36</v>
      </c>
      <c r="K35" s="7" t="s">
        <v>342</v>
      </c>
      <c r="L35" s="7" t="s">
        <v>343</v>
      </c>
      <c r="M35" s="7" t="s">
        <v>344</v>
      </c>
      <c r="N35" s="7" t="s">
        <v>345</v>
      </c>
      <c r="O35" s="7"/>
      <c r="P35" s="7"/>
      <c r="Q35" s="7"/>
      <c r="R35" s="7" t="s">
        <v>340</v>
      </c>
      <c r="S35" s="7" t="s">
        <v>346</v>
      </c>
      <c r="T35" s="7"/>
      <c r="U35" s="7">
        <v>2019</v>
      </c>
      <c r="V35" s="7" t="s">
        <v>347</v>
      </c>
      <c r="W35" s="7" t="s">
        <v>348</v>
      </c>
      <c r="X35" s="7" t="s">
        <v>349</v>
      </c>
      <c r="Y35" s="8" t="s">
        <v>350</v>
      </c>
      <c r="Z35" s="7" t="s">
        <v>351</v>
      </c>
    </row>
    <row r="36" spans="1:26" ht="35.25" customHeight="1">
      <c r="A36" s="7" t="s">
        <v>352</v>
      </c>
      <c r="B36" s="7" t="s">
        <v>353</v>
      </c>
      <c r="C36" s="7" t="s">
        <v>30</v>
      </c>
      <c r="D36" s="7" t="s">
        <v>136</v>
      </c>
      <c r="E36" s="7">
        <v>6</v>
      </c>
      <c r="F36" s="7" t="s">
        <v>32</v>
      </c>
      <c r="G36" s="7">
        <f>COUNTIFS(Specimens!$B$7:$B$76,A36)</f>
        <v>0</v>
      </c>
      <c r="H36" s="7" t="s">
        <v>354</v>
      </c>
      <c r="I36" s="7" t="s">
        <v>355</v>
      </c>
      <c r="J36" s="7" t="s">
        <v>36</v>
      </c>
      <c r="K36" s="7" t="s">
        <v>315</v>
      </c>
      <c r="L36" s="7" t="s">
        <v>356</v>
      </c>
      <c r="M36" s="7" t="s">
        <v>357</v>
      </c>
      <c r="N36" s="7" t="s">
        <v>358</v>
      </c>
      <c r="O36" s="7"/>
      <c r="P36" s="7"/>
      <c r="Q36" s="7"/>
      <c r="R36" s="7" t="s">
        <v>359</v>
      </c>
      <c r="S36" s="7" t="s">
        <v>360</v>
      </c>
      <c r="T36" s="7"/>
      <c r="U36" s="7">
        <v>2018</v>
      </c>
      <c r="V36" s="7" t="s">
        <v>361</v>
      </c>
      <c r="W36" s="7" t="s">
        <v>362</v>
      </c>
      <c r="X36" s="7" t="s">
        <v>363</v>
      </c>
      <c r="Y36" s="8" t="s">
        <v>364</v>
      </c>
      <c r="Z36" s="7" t="s">
        <v>365</v>
      </c>
    </row>
    <row r="37" spans="1:26" ht="48.75" customHeight="1">
      <c r="A37" s="7" t="s">
        <v>366</v>
      </c>
      <c r="B37" s="7" t="s">
        <v>367</v>
      </c>
      <c r="C37" s="7" t="s">
        <v>30</v>
      </c>
      <c r="D37" s="7" t="s">
        <v>210</v>
      </c>
      <c r="E37" s="7">
        <v>11</v>
      </c>
      <c r="F37" s="7" t="s">
        <v>32</v>
      </c>
      <c r="G37" s="7">
        <f>COUNTIFS(Specimens!$B$7:$B$76,A37)</f>
        <v>0</v>
      </c>
      <c r="H37" s="7" t="s">
        <v>368</v>
      </c>
      <c r="I37" s="7" t="s">
        <v>341</v>
      </c>
      <c r="J37" s="7" t="s">
        <v>36</v>
      </c>
      <c r="K37" s="7" t="s">
        <v>369</v>
      </c>
      <c r="L37" s="7" t="s">
        <v>370</v>
      </c>
      <c r="M37" s="7" t="s">
        <v>344</v>
      </c>
      <c r="N37" s="7" t="s">
        <v>371</v>
      </c>
      <c r="O37" s="7"/>
      <c r="P37" s="7"/>
      <c r="Q37" s="7" t="s">
        <v>372</v>
      </c>
      <c r="R37" s="7" t="s">
        <v>368</v>
      </c>
      <c r="S37" s="7" t="s">
        <v>373</v>
      </c>
      <c r="T37" s="7" t="s">
        <v>374</v>
      </c>
      <c r="U37" s="7">
        <v>2021</v>
      </c>
      <c r="V37" s="7"/>
      <c r="W37" s="7" t="s">
        <v>375</v>
      </c>
      <c r="X37" s="7" t="s">
        <v>376</v>
      </c>
      <c r="Y37" s="8" t="s">
        <v>377</v>
      </c>
      <c r="Z37" s="7" t="s">
        <v>378</v>
      </c>
    </row>
  </sheetData>
  <phoneticPr fontId="7" type="noConversion"/>
  <conditionalFormatting sqref="S7:S37">
    <cfRule type="containsText" dxfId="3" priority="1" operator="containsText" text="unresolved"/>
  </conditionalFormatting>
  <conditionalFormatting sqref="W7:W37">
    <cfRule type="containsText" dxfId="2" priority="4" operator="containsText" text="unresolved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CBD6"/>
  </sheetPr>
  <dimension ref="A1:L2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4.25"/>
  <cols>
    <col min="1" max="1" width="20" customWidth="1"/>
    <col min="2" max="2" width="11.125" customWidth="1"/>
    <col min="3" max="3" width="12.25" customWidth="1"/>
    <col min="4" max="4" width="17.75" customWidth="1"/>
    <col min="5" max="5" width="15.5" customWidth="1"/>
    <col min="6" max="6" width="17.75" customWidth="1"/>
    <col min="7" max="9" width="18.875" customWidth="1"/>
    <col min="10" max="10" width="46.625" customWidth="1"/>
    <col min="11" max="11" width="14.5" customWidth="1"/>
    <col min="12" max="12" width="50" customWidth="1"/>
  </cols>
  <sheetData>
    <row r="1" spans="1:12" ht="27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7.95" customHeight="1">
      <c r="A2" s="2" t="s">
        <v>379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7.95" customHeight="1">
      <c r="A3" s="3" t="s">
        <v>380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7.9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7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42" customHeight="1">
      <c r="A6" s="5" t="s">
        <v>381</v>
      </c>
      <c r="B6" s="5" t="s">
        <v>2</v>
      </c>
      <c r="C6" s="5" t="s">
        <v>382</v>
      </c>
      <c r="D6" s="5" t="s">
        <v>383</v>
      </c>
      <c r="E6" s="5" t="s">
        <v>384</v>
      </c>
      <c r="F6" s="5" t="s">
        <v>385</v>
      </c>
      <c r="G6" s="5" t="s">
        <v>386</v>
      </c>
      <c r="H6" s="5" t="s">
        <v>387</v>
      </c>
      <c r="I6" s="5" t="s">
        <v>388</v>
      </c>
      <c r="J6" s="5" t="s">
        <v>389</v>
      </c>
      <c r="K6" s="5" t="s">
        <v>25</v>
      </c>
      <c r="L6" s="5" t="s">
        <v>26</v>
      </c>
    </row>
    <row r="7" spans="1:12" ht="35.25" customHeight="1">
      <c r="A7" s="7" t="s">
        <v>390</v>
      </c>
      <c r="B7" s="7" t="s">
        <v>239</v>
      </c>
      <c r="C7" s="7" t="s">
        <v>391</v>
      </c>
      <c r="D7" s="7" t="s">
        <v>139</v>
      </c>
      <c r="E7" s="9">
        <v>548.29999999999995</v>
      </c>
      <c r="F7" s="10">
        <v>0.92</v>
      </c>
      <c r="G7" s="10">
        <v>1.53</v>
      </c>
      <c r="H7" s="11">
        <f t="shared" ref="H7:I12" si="0">1/F7</f>
        <v>1.0869565217391304</v>
      </c>
      <c r="I7" s="11">
        <f t="shared" si="0"/>
        <v>0.65359477124183007</v>
      </c>
      <c r="J7" s="7" t="s">
        <v>392</v>
      </c>
      <c r="K7" s="7" t="s">
        <v>393</v>
      </c>
      <c r="L7" s="8" t="s">
        <v>250</v>
      </c>
    </row>
    <row r="8" spans="1:12" ht="35.25" customHeight="1">
      <c r="A8" s="7" t="s">
        <v>394</v>
      </c>
      <c r="B8" s="7" t="s">
        <v>239</v>
      </c>
      <c r="C8" s="7" t="s">
        <v>395</v>
      </c>
      <c r="D8" s="7" t="s">
        <v>139</v>
      </c>
      <c r="E8" s="9">
        <v>664.6</v>
      </c>
      <c r="F8" s="10">
        <v>1.1299999999999999</v>
      </c>
      <c r="G8" s="10">
        <v>1.86</v>
      </c>
      <c r="H8" s="11">
        <f t="shared" si="0"/>
        <v>0.88495575221238942</v>
      </c>
      <c r="I8" s="11">
        <f t="shared" si="0"/>
        <v>0.5376344086021505</v>
      </c>
      <c r="J8" s="7" t="s">
        <v>392</v>
      </c>
      <c r="K8" s="7" t="s">
        <v>393</v>
      </c>
      <c r="L8" s="8" t="s">
        <v>250</v>
      </c>
    </row>
    <row r="9" spans="1:12" ht="35.25" customHeight="1">
      <c r="A9" s="7" t="s">
        <v>396</v>
      </c>
      <c r="B9" s="7" t="s">
        <v>239</v>
      </c>
      <c r="C9" s="7" t="s">
        <v>397</v>
      </c>
      <c r="D9" s="7" t="s">
        <v>139</v>
      </c>
      <c r="E9" s="9">
        <v>565.9</v>
      </c>
      <c r="F9" s="10">
        <v>1</v>
      </c>
      <c r="G9" s="10">
        <v>1.64</v>
      </c>
      <c r="H9" s="11">
        <f t="shared" si="0"/>
        <v>1</v>
      </c>
      <c r="I9" s="11">
        <f t="shared" si="0"/>
        <v>0.6097560975609756</v>
      </c>
      <c r="J9" s="7" t="s">
        <v>392</v>
      </c>
      <c r="K9" s="7" t="s">
        <v>393</v>
      </c>
      <c r="L9" s="8" t="s">
        <v>250</v>
      </c>
    </row>
    <row r="10" spans="1:12" ht="35.25" customHeight="1">
      <c r="A10" s="7" t="s">
        <v>398</v>
      </c>
      <c r="B10" s="7" t="s">
        <v>239</v>
      </c>
      <c r="C10" s="7" t="s">
        <v>399</v>
      </c>
      <c r="D10" s="7" t="s">
        <v>139</v>
      </c>
      <c r="E10" s="9">
        <v>716.4</v>
      </c>
      <c r="F10" s="10">
        <v>1.06</v>
      </c>
      <c r="G10" s="10">
        <v>1.67</v>
      </c>
      <c r="H10" s="11">
        <f t="shared" si="0"/>
        <v>0.94339622641509424</v>
      </c>
      <c r="I10" s="11">
        <f t="shared" si="0"/>
        <v>0.5988023952095809</v>
      </c>
      <c r="J10" s="7" t="s">
        <v>392</v>
      </c>
      <c r="K10" s="7" t="s">
        <v>393</v>
      </c>
      <c r="L10" s="8" t="s">
        <v>250</v>
      </c>
    </row>
    <row r="11" spans="1:12" ht="35.25" customHeight="1">
      <c r="A11" s="7" t="s">
        <v>400</v>
      </c>
      <c r="B11" s="7" t="s">
        <v>239</v>
      </c>
      <c r="C11" s="7" t="s">
        <v>401</v>
      </c>
      <c r="D11" s="7" t="s">
        <v>139</v>
      </c>
      <c r="E11" s="9">
        <v>575.79999999999995</v>
      </c>
      <c r="F11" s="10">
        <v>1.22</v>
      </c>
      <c r="G11" s="10">
        <v>2.23</v>
      </c>
      <c r="H11" s="11">
        <f t="shared" si="0"/>
        <v>0.81967213114754101</v>
      </c>
      <c r="I11" s="11">
        <f t="shared" si="0"/>
        <v>0.44843049327354262</v>
      </c>
      <c r="J11" s="7" t="s">
        <v>392</v>
      </c>
      <c r="K11" s="7" t="s">
        <v>393</v>
      </c>
      <c r="L11" s="8" t="s">
        <v>250</v>
      </c>
    </row>
    <row r="12" spans="1:12" ht="35.25" customHeight="1">
      <c r="A12" s="7" t="s">
        <v>402</v>
      </c>
      <c r="B12" s="7" t="s">
        <v>239</v>
      </c>
      <c r="C12" s="7" t="s">
        <v>403</v>
      </c>
      <c r="D12" s="7" t="s">
        <v>404</v>
      </c>
      <c r="E12" s="9">
        <v>436.4</v>
      </c>
      <c r="F12" s="10">
        <v>0.93</v>
      </c>
      <c r="G12" s="10">
        <v>1.69</v>
      </c>
      <c r="H12" s="11">
        <f t="shared" si="0"/>
        <v>1.075268817204301</v>
      </c>
      <c r="I12" s="11">
        <f t="shared" si="0"/>
        <v>0.59171597633136097</v>
      </c>
      <c r="J12" s="7" t="s">
        <v>392</v>
      </c>
      <c r="K12" s="7" t="s">
        <v>393</v>
      </c>
      <c r="L12" s="8" t="s">
        <v>250</v>
      </c>
    </row>
    <row r="16" spans="1:12" ht="51.95" customHeight="1">
      <c r="A16" s="5" t="s">
        <v>405</v>
      </c>
      <c r="B16" s="5" t="s">
        <v>406</v>
      </c>
      <c r="C16" s="5" t="s">
        <v>407</v>
      </c>
      <c r="D16" s="5" t="s">
        <v>408</v>
      </c>
      <c r="E16" s="5" t="s">
        <v>409</v>
      </c>
      <c r="F16" s="5" t="s">
        <v>410</v>
      </c>
    </row>
    <row r="17" spans="1:6" ht="42" customHeight="1">
      <c r="A17" s="6" t="s">
        <v>411</v>
      </c>
      <c r="B17" s="6" t="s">
        <v>412</v>
      </c>
      <c r="C17" s="6">
        <f>COUNT(F7:F11)</f>
        <v>5</v>
      </c>
      <c r="D17" s="12">
        <f>AVERAGE(F7:F11)</f>
        <v>1.0659999999999998</v>
      </c>
      <c r="E17" s="12" t="e">
        <f ca="1">_xludf.STDEV.S(F7:F11)/AVERAGE(F7:F11)</f>
        <v>#NAME?</v>
      </c>
      <c r="F17" s="13">
        <f>COUNTIFS(F7:F11,"&lt;1")/COUNT(F7:F11)</f>
        <v>0.2</v>
      </c>
    </row>
    <row r="18" spans="1:6" ht="42" customHeight="1">
      <c r="A18" s="6" t="s">
        <v>413</v>
      </c>
      <c r="B18" s="6" t="s">
        <v>412</v>
      </c>
      <c r="C18" s="6">
        <f>COUNT(G7:G11)</f>
        <v>5</v>
      </c>
      <c r="D18" s="12">
        <f>AVERAGE(G7:G11)</f>
        <v>1.786</v>
      </c>
      <c r="E18" s="12" t="e">
        <f ca="1">_xludf.STDEV.S(G7:G11)/AVERAGE(G7:G11)</f>
        <v>#NAME?</v>
      </c>
      <c r="F18" s="13">
        <f>COUNTIFS(G7:G11,"&lt;1")/COUNT(G7:G11)</f>
        <v>0</v>
      </c>
    </row>
    <row r="19" spans="1:6" ht="42" customHeight="1">
      <c r="A19" s="6" t="s">
        <v>411</v>
      </c>
      <c r="B19" s="6" t="s">
        <v>414</v>
      </c>
      <c r="C19" s="6">
        <f>COUNT(F12:F12)</f>
        <v>1</v>
      </c>
      <c r="D19" s="12">
        <f>AVERAGE(F12:F12)</f>
        <v>0.93</v>
      </c>
      <c r="E19" s="12" t="s">
        <v>415</v>
      </c>
      <c r="F19" s="13">
        <f>COUNTIFS(F12:F12,"&lt;1")/COUNT(F12:F12)</f>
        <v>1</v>
      </c>
    </row>
    <row r="20" spans="1:6" ht="42" customHeight="1">
      <c r="A20" s="6" t="s">
        <v>413</v>
      </c>
      <c r="B20" s="6" t="s">
        <v>414</v>
      </c>
      <c r="C20" s="6">
        <f>COUNT(G12:G12)</f>
        <v>1</v>
      </c>
      <c r="D20" s="12">
        <f>AVERAGE(G12:G12)</f>
        <v>1.69</v>
      </c>
      <c r="E20" s="12" t="s">
        <v>415</v>
      </c>
      <c r="F20" s="13">
        <f>COUNTIFS(G12:G12,"&lt;1")/COUNT(G12:G12)</f>
        <v>0</v>
      </c>
    </row>
  </sheetData>
  <phoneticPr fontId="7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CBD6"/>
  </sheetPr>
  <dimension ref="A1:I5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4.25"/>
  <cols>
    <col min="1" max="1" width="46.625" customWidth="1"/>
    <col min="2" max="2" width="11.125" customWidth="1"/>
    <col min="3" max="4" width="12.25" customWidth="1"/>
    <col min="5" max="5" width="23.375" customWidth="1"/>
    <col min="6" max="6" width="18.375" customWidth="1"/>
    <col min="7" max="7" width="43.375" customWidth="1"/>
    <col min="8" max="8" width="28.875" customWidth="1"/>
    <col min="9" max="9" width="52.25" customWidth="1"/>
  </cols>
  <sheetData>
    <row r="1" spans="1:9" ht="27.95" customHeight="1">
      <c r="A1" s="1"/>
      <c r="B1" s="1"/>
      <c r="C1" s="1"/>
      <c r="D1" s="1"/>
      <c r="E1" s="1"/>
      <c r="F1" s="1"/>
      <c r="G1" s="1"/>
      <c r="H1" s="1"/>
      <c r="I1" s="1"/>
    </row>
    <row r="2" spans="1:9" ht="27.95" customHeight="1">
      <c r="A2" s="2" t="s">
        <v>416</v>
      </c>
      <c r="B2" s="1"/>
      <c r="C2" s="1"/>
      <c r="D2" s="1"/>
      <c r="E2" s="1"/>
      <c r="F2" s="1"/>
      <c r="G2" s="1"/>
      <c r="H2" s="1"/>
      <c r="I2" s="1"/>
    </row>
    <row r="3" spans="1:9" ht="27.95" customHeight="1">
      <c r="A3" s="3" t="s">
        <v>417</v>
      </c>
      <c r="B3" s="1"/>
      <c r="C3" s="1"/>
      <c r="D3" s="1"/>
      <c r="E3" s="1"/>
      <c r="F3" s="1"/>
      <c r="G3" s="1"/>
      <c r="H3" s="1"/>
      <c r="I3" s="1"/>
    </row>
    <row r="4" spans="1:9" ht="27.95" customHeight="1">
      <c r="A4" s="4"/>
      <c r="B4" s="4"/>
      <c r="C4" s="4"/>
      <c r="D4" s="4"/>
      <c r="E4" s="4"/>
      <c r="F4" s="4"/>
      <c r="G4" s="4"/>
      <c r="H4" s="4"/>
      <c r="I4" s="4"/>
    </row>
    <row r="5" spans="1:9" ht="27.95" customHeight="1">
      <c r="A5" s="1"/>
      <c r="B5" s="1"/>
      <c r="C5" s="1"/>
      <c r="D5" s="1"/>
      <c r="E5" s="1"/>
      <c r="F5" s="1"/>
      <c r="G5" s="1"/>
      <c r="H5" s="1"/>
      <c r="I5" s="1"/>
    </row>
    <row r="6" spans="1:9" ht="42" customHeight="1">
      <c r="A6" s="5" t="s">
        <v>418</v>
      </c>
      <c r="B6" s="5" t="s">
        <v>2</v>
      </c>
      <c r="C6" s="5" t="s">
        <v>419</v>
      </c>
      <c r="D6" s="5" t="s">
        <v>420</v>
      </c>
      <c r="E6" s="5" t="s">
        <v>421</v>
      </c>
      <c r="F6" s="5" t="s">
        <v>422</v>
      </c>
      <c r="G6" s="5" t="s">
        <v>423</v>
      </c>
      <c r="H6" s="5" t="s">
        <v>25</v>
      </c>
      <c r="I6" s="5" t="s">
        <v>26</v>
      </c>
    </row>
    <row r="7" spans="1:9" ht="35.25" customHeight="1">
      <c r="A7" s="7" t="s">
        <v>424</v>
      </c>
      <c r="B7" s="7" t="s">
        <v>73</v>
      </c>
      <c r="C7" s="7" t="s">
        <v>425</v>
      </c>
      <c r="D7" s="7" t="s">
        <v>426</v>
      </c>
      <c r="E7" s="7" t="s">
        <v>427</v>
      </c>
      <c r="F7" s="10">
        <v>1.08</v>
      </c>
      <c r="G7" s="7" t="s">
        <v>428</v>
      </c>
      <c r="H7" s="7" t="s">
        <v>429</v>
      </c>
      <c r="I7" s="8" t="s">
        <v>85</v>
      </c>
    </row>
    <row r="8" spans="1:9" ht="35.25" customHeight="1">
      <c r="A8" s="7" t="s">
        <v>430</v>
      </c>
      <c r="B8" s="7" t="s">
        <v>73</v>
      </c>
      <c r="C8" s="7" t="s">
        <v>431</v>
      </c>
      <c r="D8" s="7" t="s">
        <v>426</v>
      </c>
      <c r="E8" s="7" t="s">
        <v>427</v>
      </c>
      <c r="F8" s="10">
        <v>0.61</v>
      </c>
      <c r="G8" s="7" t="s">
        <v>428</v>
      </c>
      <c r="H8" s="7" t="s">
        <v>429</v>
      </c>
      <c r="I8" s="8" t="s">
        <v>85</v>
      </c>
    </row>
    <row r="9" spans="1:9" ht="35.25" customHeight="1">
      <c r="A9" s="7" t="s">
        <v>432</v>
      </c>
      <c r="B9" s="7" t="s">
        <v>73</v>
      </c>
      <c r="C9" s="7" t="s">
        <v>433</v>
      </c>
      <c r="D9" s="7" t="s">
        <v>426</v>
      </c>
      <c r="E9" s="7" t="s">
        <v>427</v>
      </c>
      <c r="F9" s="10">
        <v>0.71</v>
      </c>
      <c r="G9" s="7" t="s">
        <v>428</v>
      </c>
      <c r="H9" s="7" t="s">
        <v>429</v>
      </c>
      <c r="I9" s="8" t="s">
        <v>85</v>
      </c>
    </row>
    <row r="10" spans="1:9" ht="35.25" customHeight="1">
      <c r="A10" s="7" t="s">
        <v>434</v>
      </c>
      <c r="B10" s="7" t="s">
        <v>73</v>
      </c>
      <c r="C10" s="7" t="s">
        <v>435</v>
      </c>
      <c r="D10" s="7" t="s">
        <v>426</v>
      </c>
      <c r="E10" s="7" t="s">
        <v>427</v>
      </c>
      <c r="F10" s="10">
        <v>1.18</v>
      </c>
      <c r="G10" s="7" t="s">
        <v>428</v>
      </c>
      <c r="H10" s="7" t="s">
        <v>429</v>
      </c>
      <c r="I10" s="8" t="s">
        <v>85</v>
      </c>
    </row>
    <row r="11" spans="1:9" ht="35.25" customHeight="1">
      <c r="A11" s="7" t="s">
        <v>436</v>
      </c>
      <c r="B11" s="7" t="s">
        <v>73</v>
      </c>
      <c r="C11" s="7" t="s">
        <v>437</v>
      </c>
      <c r="D11" s="7" t="s">
        <v>426</v>
      </c>
      <c r="E11" s="7" t="s">
        <v>427</v>
      </c>
      <c r="F11" s="10">
        <v>0.66</v>
      </c>
      <c r="G11" s="7" t="s">
        <v>428</v>
      </c>
      <c r="H11" s="7" t="s">
        <v>429</v>
      </c>
      <c r="I11" s="8" t="s">
        <v>85</v>
      </c>
    </row>
    <row r="12" spans="1:9" ht="35.25" customHeight="1">
      <c r="A12" s="7" t="s">
        <v>438</v>
      </c>
      <c r="B12" s="7" t="s">
        <v>73</v>
      </c>
      <c r="C12" s="7" t="s">
        <v>439</v>
      </c>
      <c r="D12" s="7" t="s">
        <v>426</v>
      </c>
      <c r="E12" s="7" t="s">
        <v>427</v>
      </c>
      <c r="F12" s="10">
        <v>0.65</v>
      </c>
      <c r="G12" s="7" t="s">
        <v>428</v>
      </c>
      <c r="H12" s="7" t="s">
        <v>429</v>
      </c>
      <c r="I12" s="8" t="s">
        <v>85</v>
      </c>
    </row>
    <row r="13" spans="1:9" ht="35.25" customHeight="1">
      <c r="A13" s="7" t="s">
        <v>440</v>
      </c>
      <c r="B13" s="7" t="s">
        <v>73</v>
      </c>
      <c r="C13" s="7" t="s">
        <v>425</v>
      </c>
      <c r="D13" s="7" t="s">
        <v>426</v>
      </c>
      <c r="E13" s="7" t="s">
        <v>441</v>
      </c>
      <c r="F13" s="10">
        <v>1.1299999999999999</v>
      </c>
      <c r="G13" s="7" t="s">
        <v>428</v>
      </c>
      <c r="H13" s="7" t="s">
        <v>429</v>
      </c>
      <c r="I13" s="8" t="s">
        <v>85</v>
      </c>
    </row>
    <row r="14" spans="1:9" ht="35.25" customHeight="1">
      <c r="A14" s="7" t="s">
        <v>442</v>
      </c>
      <c r="B14" s="7" t="s">
        <v>73</v>
      </c>
      <c r="C14" s="7" t="s">
        <v>431</v>
      </c>
      <c r="D14" s="7" t="s">
        <v>426</v>
      </c>
      <c r="E14" s="7" t="s">
        <v>441</v>
      </c>
      <c r="F14" s="10">
        <v>1.05</v>
      </c>
      <c r="G14" s="7" t="s">
        <v>428</v>
      </c>
      <c r="H14" s="7" t="s">
        <v>429</v>
      </c>
      <c r="I14" s="8" t="s">
        <v>85</v>
      </c>
    </row>
    <row r="15" spans="1:9" ht="35.25" customHeight="1">
      <c r="A15" s="7" t="s">
        <v>443</v>
      </c>
      <c r="B15" s="7" t="s">
        <v>73</v>
      </c>
      <c r="C15" s="7" t="s">
        <v>433</v>
      </c>
      <c r="D15" s="7" t="s">
        <v>426</v>
      </c>
      <c r="E15" s="7" t="s">
        <v>441</v>
      </c>
      <c r="F15" s="10">
        <v>1.1299999999999999</v>
      </c>
      <c r="G15" s="7" t="s">
        <v>428</v>
      </c>
      <c r="H15" s="7" t="s">
        <v>429</v>
      </c>
      <c r="I15" s="8" t="s">
        <v>85</v>
      </c>
    </row>
    <row r="16" spans="1:9" ht="35.25" customHeight="1">
      <c r="A16" s="7" t="s">
        <v>444</v>
      </c>
      <c r="B16" s="7" t="s">
        <v>73</v>
      </c>
      <c r="C16" s="7" t="s">
        <v>435</v>
      </c>
      <c r="D16" s="7" t="s">
        <v>426</v>
      </c>
      <c r="E16" s="7" t="s">
        <v>441</v>
      </c>
      <c r="F16" s="10">
        <v>1.1000000000000001</v>
      </c>
      <c r="G16" s="7" t="s">
        <v>428</v>
      </c>
      <c r="H16" s="7" t="s">
        <v>429</v>
      </c>
      <c r="I16" s="8" t="s">
        <v>85</v>
      </c>
    </row>
    <row r="17" spans="1:9" ht="35.25" customHeight="1">
      <c r="A17" s="7" t="s">
        <v>445</v>
      </c>
      <c r="B17" s="7" t="s">
        <v>73</v>
      </c>
      <c r="C17" s="7" t="s">
        <v>437</v>
      </c>
      <c r="D17" s="7" t="s">
        <v>426</v>
      </c>
      <c r="E17" s="7" t="s">
        <v>441</v>
      </c>
      <c r="F17" s="10">
        <v>1.24</v>
      </c>
      <c r="G17" s="7" t="s">
        <v>428</v>
      </c>
      <c r="H17" s="7" t="s">
        <v>429</v>
      </c>
      <c r="I17" s="8" t="s">
        <v>85</v>
      </c>
    </row>
    <row r="18" spans="1:9" ht="35.25" customHeight="1">
      <c r="A18" s="7" t="s">
        <v>446</v>
      </c>
      <c r="B18" s="7" t="s">
        <v>73</v>
      </c>
      <c r="C18" s="7" t="s">
        <v>439</v>
      </c>
      <c r="D18" s="7" t="s">
        <v>426</v>
      </c>
      <c r="E18" s="7" t="s">
        <v>441</v>
      </c>
      <c r="F18" s="10">
        <v>1.42</v>
      </c>
      <c r="G18" s="7" t="s">
        <v>428</v>
      </c>
      <c r="H18" s="7" t="s">
        <v>429</v>
      </c>
      <c r="I18" s="8" t="s">
        <v>85</v>
      </c>
    </row>
    <row r="19" spans="1:9" ht="35.25" customHeight="1">
      <c r="A19" s="7" t="s">
        <v>447</v>
      </c>
      <c r="B19" s="7" t="s">
        <v>73</v>
      </c>
      <c r="C19" s="7" t="s">
        <v>425</v>
      </c>
      <c r="D19" s="7" t="s">
        <v>426</v>
      </c>
      <c r="E19" s="7" t="s">
        <v>448</v>
      </c>
      <c r="F19" s="10">
        <v>0.73</v>
      </c>
      <c r="G19" s="7" t="s">
        <v>428</v>
      </c>
      <c r="H19" s="7" t="s">
        <v>429</v>
      </c>
      <c r="I19" s="8" t="s">
        <v>85</v>
      </c>
    </row>
    <row r="20" spans="1:9" ht="35.25" customHeight="1">
      <c r="A20" s="7" t="s">
        <v>449</v>
      </c>
      <c r="B20" s="7" t="s">
        <v>73</v>
      </c>
      <c r="C20" s="7" t="s">
        <v>431</v>
      </c>
      <c r="D20" s="7" t="s">
        <v>426</v>
      </c>
      <c r="E20" s="7" t="s">
        <v>448</v>
      </c>
      <c r="F20" s="10">
        <v>0.72</v>
      </c>
      <c r="G20" s="7" t="s">
        <v>428</v>
      </c>
      <c r="H20" s="7" t="s">
        <v>429</v>
      </c>
      <c r="I20" s="8" t="s">
        <v>85</v>
      </c>
    </row>
    <row r="21" spans="1:9" ht="35.25" customHeight="1">
      <c r="A21" s="7" t="s">
        <v>450</v>
      </c>
      <c r="B21" s="7" t="s">
        <v>73</v>
      </c>
      <c r="C21" s="7" t="s">
        <v>433</v>
      </c>
      <c r="D21" s="7" t="s">
        <v>426</v>
      </c>
      <c r="E21" s="7" t="s">
        <v>448</v>
      </c>
      <c r="F21" s="10">
        <v>0.81</v>
      </c>
      <c r="G21" s="7" t="s">
        <v>428</v>
      </c>
      <c r="H21" s="7" t="s">
        <v>429</v>
      </c>
      <c r="I21" s="8" t="s">
        <v>85</v>
      </c>
    </row>
    <row r="22" spans="1:9" ht="35.25" customHeight="1">
      <c r="A22" s="7" t="s">
        <v>451</v>
      </c>
      <c r="B22" s="7" t="s">
        <v>73</v>
      </c>
      <c r="C22" s="7" t="s">
        <v>435</v>
      </c>
      <c r="D22" s="7" t="s">
        <v>426</v>
      </c>
      <c r="E22" s="7" t="s">
        <v>448</v>
      </c>
      <c r="F22" s="10">
        <v>0.95</v>
      </c>
      <c r="G22" s="7" t="s">
        <v>428</v>
      </c>
      <c r="H22" s="7" t="s">
        <v>429</v>
      </c>
      <c r="I22" s="8" t="s">
        <v>85</v>
      </c>
    </row>
    <row r="23" spans="1:9" ht="35.25" customHeight="1">
      <c r="A23" s="7" t="s">
        <v>452</v>
      </c>
      <c r="B23" s="7" t="s">
        <v>73</v>
      </c>
      <c r="C23" s="7" t="s">
        <v>437</v>
      </c>
      <c r="D23" s="7" t="s">
        <v>426</v>
      </c>
      <c r="E23" s="7" t="s">
        <v>448</v>
      </c>
      <c r="F23" s="10">
        <v>0.92</v>
      </c>
      <c r="G23" s="7" t="s">
        <v>428</v>
      </c>
      <c r="H23" s="7" t="s">
        <v>429</v>
      </c>
      <c r="I23" s="8" t="s">
        <v>85</v>
      </c>
    </row>
    <row r="24" spans="1:9" ht="35.25" customHeight="1">
      <c r="A24" s="7" t="s">
        <v>453</v>
      </c>
      <c r="B24" s="7" t="s">
        <v>73</v>
      </c>
      <c r="C24" s="7" t="s">
        <v>439</v>
      </c>
      <c r="D24" s="7" t="s">
        <v>426</v>
      </c>
      <c r="E24" s="7" t="s">
        <v>448</v>
      </c>
      <c r="F24" s="10">
        <v>0.97</v>
      </c>
      <c r="G24" s="7" t="s">
        <v>428</v>
      </c>
      <c r="H24" s="7" t="s">
        <v>429</v>
      </c>
      <c r="I24" s="8" t="s">
        <v>85</v>
      </c>
    </row>
    <row r="25" spans="1:9" ht="35.25" customHeight="1">
      <c r="A25" s="7" t="s">
        <v>454</v>
      </c>
      <c r="B25" s="7" t="s">
        <v>73</v>
      </c>
      <c r="C25" s="7" t="s">
        <v>425</v>
      </c>
      <c r="D25" s="7" t="s">
        <v>455</v>
      </c>
      <c r="E25" s="7" t="s">
        <v>427</v>
      </c>
      <c r="F25" s="10">
        <v>0.92</v>
      </c>
      <c r="G25" s="7" t="s">
        <v>428</v>
      </c>
      <c r="H25" s="7" t="s">
        <v>429</v>
      </c>
      <c r="I25" s="8" t="s">
        <v>85</v>
      </c>
    </row>
    <row r="26" spans="1:9" ht="35.25" customHeight="1">
      <c r="A26" s="7" t="s">
        <v>456</v>
      </c>
      <c r="B26" s="7" t="s">
        <v>73</v>
      </c>
      <c r="C26" s="7" t="s">
        <v>431</v>
      </c>
      <c r="D26" s="7" t="s">
        <v>455</v>
      </c>
      <c r="E26" s="7" t="s">
        <v>427</v>
      </c>
      <c r="F26" s="10">
        <v>0.83</v>
      </c>
      <c r="G26" s="7" t="s">
        <v>428</v>
      </c>
      <c r="H26" s="7" t="s">
        <v>429</v>
      </c>
      <c r="I26" s="8" t="s">
        <v>85</v>
      </c>
    </row>
    <row r="27" spans="1:9" ht="35.25" customHeight="1">
      <c r="A27" s="7" t="s">
        <v>457</v>
      </c>
      <c r="B27" s="7" t="s">
        <v>73</v>
      </c>
      <c r="C27" s="7" t="s">
        <v>433</v>
      </c>
      <c r="D27" s="7" t="s">
        <v>455</v>
      </c>
      <c r="E27" s="7" t="s">
        <v>427</v>
      </c>
      <c r="F27" s="10">
        <v>0.82</v>
      </c>
      <c r="G27" s="7" t="s">
        <v>428</v>
      </c>
      <c r="H27" s="7" t="s">
        <v>429</v>
      </c>
      <c r="I27" s="8" t="s">
        <v>85</v>
      </c>
    </row>
    <row r="28" spans="1:9" ht="35.25" customHeight="1">
      <c r="A28" s="7" t="s">
        <v>458</v>
      </c>
      <c r="B28" s="7" t="s">
        <v>73</v>
      </c>
      <c r="C28" s="7" t="s">
        <v>435</v>
      </c>
      <c r="D28" s="7" t="s">
        <v>455</v>
      </c>
      <c r="E28" s="7" t="s">
        <v>427</v>
      </c>
      <c r="F28" s="10">
        <v>0.79</v>
      </c>
      <c r="G28" s="7" t="s">
        <v>428</v>
      </c>
      <c r="H28" s="7" t="s">
        <v>429</v>
      </c>
      <c r="I28" s="8" t="s">
        <v>85</v>
      </c>
    </row>
    <row r="29" spans="1:9" ht="35.25" customHeight="1">
      <c r="A29" s="7" t="s">
        <v>459</v>
      </c>
      <c r="B29" s="7" t="s">
        <v>73</v>
      </c>
      <c r="C29" s="7" t="s">
        <v>437</v>
      </c>
      <c r="D29" s="7" t="s">
        <v>455</v>
      </c>
      <c r="E29" s="7" t="s">
        <v>427</v>
      </c>
      <c r="F29" s="10">
        <v>0.79</v>
      </c>
      <c r="G29" s="7" t="s">
        <v>428</v>
      </c>
      <c r="H29" s="7" t="s">
        <v>429</v>
      </c>
      <c r="I29" s="8" t="s">
        <v>85</v>
      </c>
    </row>
    <row r="30" spans="1:9" ht="35.25" customHeight="1">
      <c r="A30" s="7" t="s">
        <v>460</v>
      </c>
      <c r="B30" s="7" t="s">
        <v>73</v>
      </c>
      <c r="C30" s="7" t="s">
        <v>439</v>
      </c>
      <c r="D30" s="7" t="s">
        <v>455</v>
      </c>
      <c r="E30" s="7" t="s">
        <v>427</v>
      </c>
      <c r="F30" s="10">
        <v>0.84</v>
      </c>
      <c r="G30" s="7" t="s">
        <v>428</v>
      </c>
      <c r="H30" s="7" t="s">
        <v>429</v>
      </c>
      <c r="I30" s="8" t="s">
        <v>85</v>
      </c>
    </row>
    <row r="31" spans="1:9" ht="35.25" customHeight="1">
      <c r="A31" s="7" t="s">
        <v>461</v>
      </c>
      <c r="B31" s="7" t="s">
        <v>73</v>
      </c>
      <c r="C31" s="7" t="s">
        <v>425</v>
      </c>
      <c r="D31" s="7" t="s">
        <v>455</v>
      </c>
      <c r="E31" s="7" t="s">
        <v>441</v>
      </c>
      <c r="F31" s="10">
        <v>1.08</v>
      </c>
      <c r="G31" s="7" t="s">
        <v>428</v>
      </c>
      <c r="H31" s="7" t="s">
        <v>429</v>
      </c>
      <c r="I31" s="8" t="s">
        <v>85</v>
      </c>
    </row>
    <row r="32" spans="1:9" ht="35.25" customHeight="1">
      <c r="A32" s="7" t="s">
        <v>462</v>
      </c>
      <c r="B32" s="7" t="s">
        <v>73</v>
      </c>
      <c r="C32" s="7" t="s">
        <v>431</v>
      </c>
      <c r="D32" s="7" t="s">
        <v>455</v>
      </c>
      <c r="E32" s="7" t="s">
        <v>441</v>
      </c>
      <c r="F32" s="10">
        <v>1.01</v>
      </c>
      <c r="G32" s="7" t="s">
        <v>428</v>
      </c>
      <c r="H32" s="7" t="s">
        <v>429</v>
      </c>
      <c r="I32" s="8" t="s">
        <v>85</v>
      </c>
    </row>
    <row r="33" spans="1:9" ht="35.25" customHeight="1">
      <c r="A33" s="7" t="s">
        <v>463</v>
      </c>
      <c r="B33" s="7" t="s">
        <v>73</v>
      </c>
      <c r="C33" s="7" t="s">
        <v>433</v>
      </c>
      <c r="D33" s="7" t="s">
        <v>455</v>
      </c>
      <c r="E33" s="7" t="s">
        <v>441</v>
      </c>
      <c r="F33" s="10">
        <v>1.1100000000000001</v>
      </c>
      <c r="G33" s="7" t="s">
        <v>428</v>
      </c>
      <c r="H33" s="7" t="s">
        <v>429</v>
      </c>
      <c r="I33" s="8" t="s">
        <v>85</v>
      </c>
    </row>
    <row r="34" spans="1:9" ht="35.25" customHeight="1">
      <c r="A34" s="7" t="s">
        <v>464</v>
      </c>
      <c r="B34" s="7" t="s">
        <v>73</v>
      </c>
      <c r="C34" s="7" t="s">
        <v>435</v>
      </c>
      <c r="D34" s="7" t="s">
        <v>455</v>
      </c>
      <c r="E34" s="7" t="s">
        <v>441</v>
      </c>
      <c r="F34" s="10">
        <v>0.63</v>
      </c>
      <c r="G34" s="7" t="s">
        <v>428</v>
      </c>
      <c r="H34" s="7" t="s">
        <v>429</v>
      </c>
      <c r="I34" s="8" t="s">
        <v>85</v>
      </c>
    </row>
    <row r="35" spans="1:9" ht="35.25" customHeight="1">
      <c r="A35" s="7" t="s">
        <v>465</v>
      </c>
      <c r="B35" s="7" t="s">
        <v>73</v>
      </c>
      <c r="C35" s="7" t="s">
        <v>437</v>
      </c>
      <c r="D35" s="7" t="s">
        <v>455</v>
      </c>
      <c r="E35" s="7" t="s">
        <v>441</v>
      </c>
      <c r="F35" s="10">
        <v>1.06</v>
      </c>
      <c r="G35" s="7" t="s">
        <v>428</v>
      </c>
      <c r="H35" s="7" t="s">
        <v>429</v>
      </c>
      <c r="I35" s="8" t="s">
        <v>85</v>
      </c>
    </row>
    <row r="36" spans="1:9" ht="35.25" customHeight="1">
      <c r="A36" s="7" t="s">
        <v>466</v>
      </c>
      <c r="B36" s="7" t="s">
        <v>73</v>
      </c>
      <c r="C36" s="7" t="s">
        <v>439</v>
      </c>
      <c r="D36" s="7" t="s">
        <v>455</v>
      </c>
      <c r="E36" s="7" t="s">
        <v>441</v>
      </c>
      <c r="F36" s="10">
        <v>1.23</v>
      </c>
      <c r="G36" s="7" t="s">
        <v>428</v>
      </c>
      <c r="H36" s="7" t="s">
        <v>429</v>
      </c>
      <c r="I36" s="8" t="s">
        <v>85</v>
      </c>
    </row>
    <row r="37" spans="1:9" ht="35.25" customHeight="1">
      <c r="A37" s="7" t="s">
        <v>467</v>
      </c>
      <c r="B37" s="7" t="s">
        <v>73</v>
      </c>
      <c r="C37" s="7" t="s">
        <v>425</v>
      </c>
      <c r="D37" s="7" t="s">
        <v>455</v>
      </c>
      <c r="E37" s="7" t="s">
        <v>448</v>
      </c>
      <c r="F37" s="10">
        <v>0.88</v>
      </c>
      <c r="G37" s="7" t="s">
        <v>428</v>
      </c>
      <c r="H37" s="7" t="s">
        <v>429</v>
      </c>
      <c r="I37" s="8" t="s">
        <v>85</v>
      </c>
    </row>
    <row r="38" spans="1:9" ht="35.25" customHeight="1">
      <c r="A38" s="7" t="s">
        <v>468</v>
      </c>
      <c r="B38" s="7" t="s">
        <v>73</v>
      </c>
      <c r="C38" s="7" t="s">
        <v>431</v>
      </c>
      <c r="D38" s="7" t="s">
        <v>455</v>
      </c>
      <c r="E38" s="7" t="s">
        <v>448</v>
      </c>
      <c r="F38" s="10">
        <v>0.82</v>
      </c>
      <c r="G38" s="7" t="s">
        <v>428</v>
      </c>
      <c r="H38" s="7" t="s">
        <v>429</v>
      </c>
      <c r="I38" s="8" t="s">
        <v>85</v>
      </c>
    </row>
    <row r="39" spans="1:9" ht="35.25" customHeight="1">
      <c r="A39" s="7" t="s">
        <v>469</v>
      </c>
      <c r="B39" s="7" t="s">
        <v>73</v>
      </c>
      <c r="C39" s="7" t="s">
        <v>433</v>
      </c>
      <c r="D39" s="7" t="s">
        <v>455</v>
      </c>
      <c r="E39" s="7" t="s">
        <v>448</v>
      </c>
      <c r="F39" s="10">
        <v>0.85</v>
      </c>
      <c r="G39" s="7" t="s">
        <v>428</v>
      </c>
      <c r="H39" s="7" t="s">
        <v>429</v>
      </c>
      <c r="I39" s="8" t="s">
        <v>85</v>
      </c>
    </row>
    <row r="40" spans="1:9" ht="35.25" customHeight="1">
      <c r="A40" s="7" t="s">
        <v>470</v>
      </c>
      <c r="B40" s="7" t="s">
        <v>73</v>
      </c>
      <c r="C40" s="7" t="s">
        <v>435</v>
      </c>
      <c r="D40" s="7" t="s">
        <v>455</v>
      </c>
      <c r="E40" s="7" t="s">
        <v>448</v>
      </c>
      <c r="F40" s="10">
        <v>0.93</v>
      </c>
      <c r="G40" s="7" t="s">
        <v>428</v>
      </c>
      <c r="H40" s="7" t="s">
        <v>429</v>
      </c>
      <c r="I40" s="8" t="s">
        <v>85</v>
      </c>
    </row>
    <row r="41" spans="1:9" ht="35.25" customHeight="1">
      <c r="A41" s="7" t="s">
        <v>471</v>
      </c>
      <c r="B41" s="7" t="s">
        <v>73</v>
      </c>
      <c r="C41" s="7" t="s">
        <v>437</v>
      </c>
      <c r="D41" s="7" t="s">
        <v>455</v>
      </c>
      <c r="E41" s="7" t="s">
        <v>448</v>
      </c>
      <c r="F41" s="10">
        <v>0.84</v>
      </c>
      <c r="G41" s="7" t="s">
        <v>428</v>
      </c>
      <c r="H41" s="7" t="s">
        <v>429</v>
      </c>
      <c r="I41" s="8" t="s">
        <v>85</v>
      </c>
    </row>
    <row r="42" spans="1:9" ht="35.25" customHeight="1">
      <c r="A42" s="7" t="s">
        <v>472</v>
      </c>
      <c r="B42" s="7" t="s">
        <v>73</v>
      </c>
      <c r="C42" s="7" t="s">
        <v>439</v>
      </c>
      <c r="D42" s="7" t="s">
        <v>455</v>
      </c>
      <c r="E42" s="7" t="s">
        <v>448</v>
      </c>
      <c r="F42" s="10">
        <v>0.86</v>
      </c>
      <c r="G42" s="7" t="s">
        <v>428</v>
      </c>
      <c r="H42" s="7" t="s">
        <v>429</v>
      </c>
      <c r="I42" s="8" t="s">
        <v>85</v>
      </c>
    </row>
    <row r="47" spans="1:9" ht="51.95" customHeight="1">
      <c r="A47" s="5" t="s">
        <v>405</v>
      </c>
      <c r="B47" s="5" t="s">
        <v>420</v>
      </c>
      <c r="C47" s="5" t="s">
        <v>473</v>
      </c>
      <c r="D47" s="5" t="s">
        <v>474</v>
      </c>
      <c r="E47" s="5" t="s">
        <v>409</v>
      </c>
      <c r="F47" s="5" t="s">
        <v>475</v>
      </c>
    </row>
    <row r="48" spans="1:9" ht="42" customHeight="1">
      <c r="A48" s="6" t="s">
        <v>427</v>
      </c>
      <c r="B48" s="6" t="s">
        <v>426</v>
      </c>
      <c r="C48" s="6">
        <f>COUNT(F7:F12)</f>
        <v>6</v>
      </c>
      <c r="D48" s="12">
        <f>AVERAGE(F7:F12)</f>
        <v>0.81500000000000006</v>
      </c>
      <c r="E48" s="12" t="e">
        <f ca="1">_xludf.STDEV.S(F7:F12)/AVERAGE(F7:F12)</f>
        <v>#NAME?</v>
      </c>
      <c r="F48" s="13">
        <f>COUNTIFS(F7:F12,"&lt;1")/COUNT(F7:F12)</f>
        <v>0.66666666666666663</v>
      </c>
    </row>
    <row r="49" spans="1:6" ht="42" customHeight="1">
      <c r="A49" s="6" t="s">
        <v>441</v>
      </c>
      <c r="B49" s="6" t="s">
        <v>426</v>
      </c>
      <c r="C49" s="6">
        <f>COUNT(F13:F18)</f>
        <v>6</v>
      </c>
      <c r="D49" s="12">
        <f>AVERAGE(F13:F18)</f>
        <v>1.1783333333333335</v>
      </c>
      <c r="E49" s="12" t="e">
        <f ca="1">_xludf.STDEV.S(F13:F18)/AVERAGE(F13:F18)</f>
        <v>#NAME?</v>
      </c>
      <c r="F49" s="13">
        <f>COUNTIFS(F13:F18,"&lt;1")/COUNT(F13:F18)</f>
        <v>0</v>
      </c>
    </row>
    <row r="50" spans="1:6" ht="42" customHeight="1">
      <c r="A50" s="6" t="s">
        <v>448</v>
      </c>
      <c r="B50" s="6" t="s">
        <v>426</v>
      </c>
      <c r="C50" s="6">
        <f>COUNT(F19:F24)</f>
        <v>6</v>
      </c>
      <c r="D50" s="12">
        <f>AVERAGE(F19:F24)</f>
        <v>0.85</v>
      </c>
      <c r="E50" s="12" t="e">
        <f ca="1">_xludf.STDEV.S(F19:F24)/AVERAGE(F19:F24)</f>
        <v>#NAME?</v>
      </c>
      <c r="F50" s="13">
        <f>COUNTIFS(F19:F24,"&lt;1")/COUNT(F19:F24)</f>
        <v>1</v>
      </c>
    </row>
    <row r="51" spans="1:6" ht="42" customHeight="1">
      <c r="A51" s="6" t="s">
        <v>427</v>
      </c>
      <c r="B51" s="6" t="s">
        <v>455</v>
      </c>
      <c r="C51" s="6">
        <f>COUNT(F25:F30)</f>
        <v>6</v>
      </c>
      <c r="D51" s="12">
        <f>AVERAGE(F25:F30)</f>
        <v>0.83166666666666667</v>
      </c>
      <c r="E51" s="12" t="e">
        <f ca="1">_xludf.STDEV.S(F25:F30)/AVERAGE(F25:F30)</f>
        <v>#NAME?</v>
      </c>
      <c r="F51" s="13">
        <f>COUNTIFS(F25:F30,"&lt;1")/COUNT(F25:F30)</f>
        <v>1</v>
      </c>
    </row>
    <row r="52" spans="1:6" ht="42" customHeight="1">
      <c r="A52" s="6" t="s">
        <v>441</v>
      </c>
      <c r="B52" s="6" t="s">
        <v>455</v>
      </c>
      <c r="C52" s="6">
        <f>COUNT(F31:F36)</f>
        <v>6</v>
      </c>
      <c r="D52" s="12">
        <f>AVERAGE(F31:F36)</f>
        <v>1.0200000000000002</v>
      </c>
      <c r="E52" s="12" t="e">
        <f ca="1">_xludf.STDEV.S(F31:F36)/AVERAGE(F31:F36)</f>
        <v>#NAME?</v>
      </c>
      <c r="F52" s="13">
        <f>COUNTIFS(F31:F36,"&lt;1")/COUNT(F31:F36)</f>
        <v>0.16666666666666666</v>
      </c>
    </row>
    <row r="53" spans="1:6" ht="42" customHeight="1">
      <c r="A53" s="6" t="s">
        <v>448</v>
      </c>
      <c r="B53" s="6" t="s">
        <v>455</v>
      </c>
      <c r="C53" s="6">
        <f>COUNT(F37:F42)</f>
        <v>6</v>
      </c>
      <c r="D53" s="12">
        <f>AVERAGE(F37:F42)</f>
        <v>0.8633333333333334</v>
      </c>
      <c r="E53" s="12" t="e">
        <f ca="1">_xludf.STDEV.S(F37:F42)/AVERAGE(F37:F42)</f>
        <v>#NAME?</v>
      </c>
      <c r="F53" s="13">
        <f>COUNTIFS(F37:F42,"&lt;1")/COUNT(F37:F42)</f>
        <v>1</v>
      </c>
    </row>
  </sheetData>
  <phoneticPr fontId="7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CBD6"/>
  </sheetPr>
  <dimension ref="A1:AI7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23.375" customWidth="1"/>
    <col min="2" max="2" width="11.125" customWidth="1"/>
    <col min="3" max="3" width="17.75" customWidth="1"/>
    <col min="4" max="4" width="18.875" customWidth="1"/>
    <col min="5" max="5" width="24.5" customWidth="1"/>
    <col min="6" max="6" width="13.375" customWidth="1"/>
    <col min="7" max="7" width="21.125" customWidth="1"/>
    <col min="8" max="10" width="11.125" customWidth="1"/>
    <col min="11" max="11" width="12.25" customWidth="1"/>
    <col min="12" max="12" width="11.125" customWidth="1"/>
    <col min="13" max="13" width="12.25" customWidth="1"/>
    <col min="14" max="14" width="9.5" customWidth="1"/>
    <col min="15" max="15" width="15.5" customWidth="1"/>
    <col min="16" max="16" width="36.625" customWidth="1"/>
    <col min="17" max="19" width="12.25" customWidth="1"/>
    <col min="20" max="20" width="15" customWidth="1"/>
    <col min="21" max="21" width="14.5" customWidth="1"/>
    <col min="22" max="22" width="13.375" customWidth="1"/>
    <col min="23" max="23" width="32.25" customWidth="1"/>
    <col min="24" max="25" width="12.25" customWidth="1"/>
    <col min="26" max="28" width="13.375" customWidth="1"/>
    <col min="29" max="30" width="42.25" customWidth="1"/>
    <col min="31" max="31" width="36.625" customWidth="1"/>
    <col min="32" max="32" width="57.75" customWidth="1"/>
    <col min="33" max="33" width="32.25" customWidth="1"/>
    <col min="34" max="34" width="43.375" customWidth="1"/>
    <col min="35" max="35" width="50" customWidth="1"/>
  </cols>
  <sheetData>
    <row r="1" spans="1:35" ht="27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7.95" customHeight="1">
      <c r="A2" s="2" t="s">
        <v>476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7.95" customHeight="1">
      <c r="A3" s="3" t="s">
        <v>477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27.9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ht="27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42" customHeight="1">
      <c r="A6" s="5" t="s">
        <v>381</v>
      </c>
      <c r="B6" s="5" t="s">
        <v>2</v>
      </c>
      <c r="C6" s="5" t="s">
        <v>478</v>
      </c>
      <c r="D6" s="5" t="s">
        <v>479</v>
      </c>
      <c r="E6" s="5" t="s">
        <v>480</v>
      </c>
      <c r="F6" s="5" t="s">
        <v>13</v>
      </c>
      <c r="G6" s="5" t="s">
        <v>12</v>
      </c>
      <c r="H6" s="5" t="s">
        <v>481</v>
      </c>
      <c r="I6" s="5" t="s">
        <v>482</v>
      </c>
      <c r="J6" s="5" t="s">
        <v>483</v>
      </c>
      <c r="K6" s="5" t="s">
        <v>484</v>
      </c>
      <c r="L6" s="5" t="s">
        <v>485</v>
      </c>
      <c r="M6" s="5" t="s">
        <v>486</v>
      </c>
      <c r="N6" s="5" t="s">
        <v>487</v>
      </c>
      <c r="O6" s="5" t="s">
        <v>488</v>
      </c>
      <c r="P6" s="5" t="s">
        <v>489</v>
      </c>
      <c r="Q6" s="5" t="s">
        <v>490</v>
      </c>
      <c r="R6" s="5" t="s">
        <v>491</v>
      </c>
      <c r="S6" s="5" t="s">
        <v>492</v>
      </c>
      <c r="T6" s="5" t="s">
        <v>493</v>
      </c>
      <c r="U6" s="5" t="s">
        <v>494</v>
      </c>
      <c r="V6" s="5" t="s">
        <v>495</v>
      </c>
      <c r="W6" s="5" t="s">
        <v>496</v>
      </c>
      <c r="X6" s="5" t="s">
        <v>497</v>
      </c>
      <c r="Y6" s="5" t="s">
        <v>498</v>
      </c>
      <c r="Z6" s="5" t="s">
        <v>499</v>
      </c>
      <c r="AA6" s="5" t="s">
        <v>500</v>
      </c>
      <c r="AB6" s="5" t="s">
        <v>501</v>
      </c>
      <c r="AC6" s="5" t="s">
        <v>11</v>
      </c>
      <c r="AD6" s="5" t="s">
        <v>502</v>
      </c>
      <c r="AE6" s="5" t="s">
        <v>503</v>
      </c>
      <c r="AF6" s="5" t="s">
        <v>504</v>
      </c>
      <c r="AG6" s="5" t="s">
        <v>505</v>
      </c>
      <c r="AH6" s="5" t="s">
        <v>25</v>
      </c>
      <c r="AI6" s="5" t="s">
        <v>26</v>
      </c>
    </row>
    <row r="7" spans="1:35" ht="35.25" customHeight="1">
      <c r="A7" s="7" t="s">
        <v>506</v>
      </c>
      <c r="B7" s="7" t="s">
        <v>239</v>
      </c>
      <c r="C7" s="7" t="s">
        <v>507</v>
      </c>
      <c r="D7" s="7" t="s">
        <v>508</v>
      </c>
      <c r="E7" s="7" t="s">
        <v>509</v>
      </c>
      <c r="F7" s="7" t="s">
        <v>510</v>
      </c>
      <c r="G7" s="7"/>
      <c r="H7" s="15">
        <v>3000</v>
      </c>
      <c r="I7" s="15">
        <v>2500</v>
      </c>
      <c r="J7" s="15">
        <v>200</v>
      </c>
      <c r="K7" s="14"/>
      <c r="L7" s="15">
        <v>2000</v>
      </c>
      <c r="M7" s="14"/>
      <c r="N7" s="14"/>
      <c r="O7" s="10">
        <v>48.81</v>
      </c>
      <c r="P7" s="7" t="s">
        <v>511</v>
      </c>
      <c r="Q7" s="14"/>
      <c r="R7" s="7" t="s">
        <v>512</v>
      </c>
      <c r="S7" s="15">
        <v>150</v>
      </c>
      <c r="T7" s="9">
        <v>0.8</v>
      </c>
      <c r="U7" s="15">
        <v>200</v>
      </c>
      <c r="V7" s="15">
        <v>450</v>
      </c>
      <c r="W7" s="7" t="s">
        <v>513</v>
      </c>
      <c r="X7" s="15">
        <v>25</v>
      </c>
      <c r="Y7" s="15">
        <v>30</v>
      </c>
      <c r="Z7" s="15">
        <v>600</v>
      </c>
      <c r="AA7" s="15">
        <v>250</v>
      </c>
      <c r="AB7" s="14"/>
      <c r="AC7" s="7" t="s">
        <v>139</v>
      </c>
      <c r="AD7" s="7" t="s">
        <v>141</v>
      </c>
      <c r="AE7" s="7" t="s">
        <v>514</v>
      </c>
      <c r="AF7" s="7" t="s">
        <v>515</v>
      </c>
      <c r="AG7" s="7" t="s">
        <v>516</v>
      </c>
      <c r="AH7" s="7" t="s">
        <v>517</v>
      </c>
      <c r="AI7" s="8" t="s">
        <v>250</v>
      </c>
    </row>
    <row r="8" spans="1:35" ht="35.25" customHeight="1">
      <c r="A8" s="7" t="s">
        <v>390</v>
      </c>
      <c r="B8" s="7" t="s">
        <v>239</v>
      </c>
      <c r="C8" s="7" t="s">
        <v>391</v>
      </c>
      <c r="D8" s="7" t="s">
        <v>508</v>
      </c>
      <c r="E8" s="7" t="s">
        <v>509</v>
      </c>
      <c r="F8" s="7" t="s">
        <v>356</v>
      </c>
      <c r="G8" s="7"/>
      <c r="H8" s="15">
        <v>3000</v>
      </c>
      <c r="I8" s="15">
        <v>2500</v>
      </c>
      <c r="J8" s="15">
        <v>200</v>
      </c>
      <c r="K8" s="14"/>
      <c r="L8" s="15">
        <v>2000</v>
      </c>
      <c r="M8" s="14"/>
      <c r="N8" s="14"/>
      <c r="O8" s="10">
        <v>48.81</v>
      </c>
      <c r="P8" s="7" t="s">
        <v>511</v>
      </c>
      <c r="Q8" s="15">
        <v>16</v>
      </c>
      <c r="R8" s="7"/>
      <c r="S8" s="15">
        <v>150</v>
      </c>
      <c r="T8" s="9">
        <v>0.8</v>
      </c>
      <c r="U8" s="9">
        <v>64.8</v>
      </c>
      <c r="V8" s="15">
        <v>1724</v>
      </c>
      <c r="W8" s="7" t="s">
        <v>518</v>
      </c>
      <c r="X8" s="15">
        <v>25</v>
      </c>
      <c r="Y8" s="15">
        <v>30</v>
      </c>
      <c r="Z8" s="15">
        <v>600</v>
      </c>
      <c r="AA8" s="15">
        <v>250</v>
      </c>
      <c r="AB8" s="14"/>
      <c r="AC8" s="7" t="s">
        <v>139</v>
      </c>
      <c r="AD8" s="7" t="s">
        <v>141</v>
      </c>
      <c r="AE8" s="7" t="s">
        <v>514</v>
      </c>
      <c r="AF8" s="7"/>
      <c r="AG8" s="7" t="s">
        <v>516</v>
      </c>
      <c r="AH8" s="7" t="s">
        <v>517</v>
      </c>
      <c r="AI8" s="8" t="s">
        <v>250</v>
      </c>
    </row>
    <row r="9" spans="1:35" ht="35.25" customHeight="1">
      <c r="A9" s="7" t="s">
        <v>394</v>
      </c>
      <c r="B9" s="7" t="s">
        <v>239</v>
      </c>
      <c r="C9" s="7" t="s">
        <v>395</v>
      </c>
      <c r="D9" s="7" t="s">
        <v>508</v>
      </c>
      <c r="E9" s="7" t="s">
        <v>509</v>
      </c>
      <c r="F9" s="7" t="s">
        <v>356</v>
      </c>
      <c r="G9" s="7"/>
      <c r="H9" s="15">
        <v>3000</v>
      </c>
      <c r="I9" s="15">
        <v>2500</v>
      </c>
      <c r="J9" s="15">
        <v>200</v>
      </c>
      <c r="K9" s="14"/>
      <c r="L9" s="15">
        <v>2000</v>
      </c>
      <c r="M9" s="14"/>
      <c r="N9" s="14"/>
      <c r="O9" s="9">
        <v>42.2</v>
      </c>
      <c r="P9" s="7" t="s">
        <v>511</v>
      </c>
      <c r="Q9" s="15">
        <v>12</v>
      </c>
      <c r="R9" s="7"/>
      <c r="S9" s="15">
        <v>85</v>
      </c>
      <c r="T9" s="10">
        <v>0.79</v>
      </c>
      <c r="U9" s="9">
        <v>69.3</v>
      </c>
      <c r="V9" s="15">
        <v>1760</v>
      </c>
      <c r="W9" s="7" t="s">
        <v>518</v>
      </c>
      <c r="X9" s="15">
        <v>25</v>
      </c>
      <c r="Y9" s="15">
        <v>30</v>
      </c>
      <c r="Z9" s="15">
        <v>600</v>
      </c>
      <c r="AA9" s="15">
        <v>250</v>
      </c>
      <c r="AB9" s="14"/>
      <c r="AC9" s="7" t="s">
        <v>139</v>
      </c>
      <c r="AD9" s="7" t="s">
        <v>141</v>
      </c>
      <c r="AE9" s="7" t="s">
        <v>514</v>
      </c>
      <c r="AF9" s="7" t="s">
        <v>519</v>
      </c>
      <c r="AG9" s="7" t="s">
        <v>516</v>
      </c>
      <c r="AH9" s="7" t="s">
        <v>517</v>
      </c>
      <c r="AI9" s="8" t="s">
        <v>250</v>
      </c>
    </row>
    <row r="10" spans="1:35" ht="35.25" customHeight="1">
      <c r="A10" s="7" t="s">
        <v>396</v>
      </c>
      <c r="B10" s="7" t="s">
        <v>239</v>
      </c>
      <c r="C10" s="7" t="s">
        <v>397</v>
      </c>
      <c r="D10" s="7" t="s">
        <v>508</v>
      </c>
      <c r="E10" s="7" t="s">
        <v>509</v>
      </c>
      <c r="F10" s="7" t="s">
        <v>356</v>
      </c>
      <c r="G10" s="7"/>
      <c r="H10" s="15">
        <v>3000</v>
      </c>
      <c r="I10" s="15">
        <v>2500</v>
      </c>
      <c r="J10" s="15">
        <v>200</v>
      </c>
      <c r="K10" s="14"/>
      <c r="L10" s="15">
        <v>2000</v>
      </c>
      <c r="M10" s="14"/>
      <c r="N10" s="14"/>
      <c r="O10" s="9">
        <v>42.2</v>
      </c>
      <c r="P10" s="7" t="s">
        <v>511</v>
      </c>
      <c r="Q10" s="15">
        <v>16</v>
      </c>
      <c r="R10" s="7"/>
      <c r="S10" s="15">
        <v>150</v>
      </c>
      <c r="T10" s="9">
        <v>0.8</v>
      </c>
      <c r="U10" s="9">
        <v>64.8</v>
      </c>
      <c r="V10" s="15">
        <v>1724</v>
      </c>
      <c r="W10" s="7" t="s">
        <v>518</v>
      </c>
      <c r="X10" s="15">
        <v>25</v>
      </c>
      <c r="Y10" s="15">
        <v>30</v>
      </c>
      <c r="Z10" s="15">
        <v>600</v>
      </c>
      <c r="AA10" s="15">
        <v>250</v>
      </c>
      <c r="AB10" s="14"/>
      <c r="AC10" s="7" t="s">
        <v>139</v>
      </c>
      <c r="AD10" s="7" t="s">
        <v>141</v>
      </c>
      <c r="AE10" s="7" t="s">
        <v>514</v>
      </c>
      <c r="AF10" s="7" t="s">
        <v>520</v>
      </c>
      <c r="AG10" s="7" t="s">
        <v>516</v>
      </c>
      <c r="AH10" s="7" t="s">
        <v>517</v>
      </c>
      <c r="AI10" s="8" t="s">
        <v>250</v>
      </c>
    </row>
    <row r="11" spans="1:35" ht="35.25" customHeight="1">
      <c r="A11" s="7" t="s">
        <v>398</v>
      </c>
      <c r="B11" s="7" t="s">
        <v>239</v>
      </c>
      <c r="C11" s="7" t="s">
        <v>399</v>
      </c>
      <c r="D11" s="7" t="s">
        <v>508</v>
      </c>
      <c r="E11" s="7" t="s">
        <v>509</v>
      </c>
      <c r="F11" s="7" t="s">
        <v>356</v>
      </c>
      <c r="G11" s="7"/>
      <c r="H11" s="15">
        <v>3000</v>
      </c>
      <c r="I11" s="15">
        <v>2500</v>
      </c>
      <c r="J11" s="15">
        <v>200</v>
      </c>
      <c r="K11" s="14"/>
      <c r="L11" s="15">
        <v>2000</v>
      </c>
      <c r="M11" s="14"/>
      <c r="N11" s="14"/>
      <c r="O11" s="9">
        <v>47.9</v>
      </c>
      <c r="P11" s="7" t="s">
        <v>511</v>
      </c>
      <c r="Q11" s="15">
        <v>16</v>
      </c>
      <c r="R11" s="7"/>
      <c r="S11" s="15">
        <v>100</v>
      </c>
      <c r="T11" s="9">
        <v>1.2</v>
      </c>
      <c r="U11" s="9">
        <v>64.8</v>
      </c>
      <c r="V11" s="15">
        <v>1724</v>
      </c>
      <c r="W11" s="7" t="s">
        <v>518</v>
      </c>
      <c r="X11" s="15">
        <v>25</v>
      </c>
      <c r="Y11" s="15">
        <v>30</v>
      </c>
      <c r="Z11" s="15">
        <v>600</v>
      </c>
      <c r="AA11" s="15">
        <v>250</v>
      </c>
      <c r="AB11" s="14"/>
      <c r="AC11" s="7" t="s">
        <v>139</v>
      </c>
      <c r="AD11" s="7" t="s">
        <v>141</v>
      </c>
      <c r="AE11" s="7" t="s">
        <v>514</v>
      </c>
      <c r="AF11" s="7"/>
      <c r="AG11" s="7" t="s">
        <v>516</v>
      </c>
      <c r="AH11" s="7" t="s">
        <v>517</v>
      </c>
      <c r="AI11" s="8" t="s">
        <v>250</v>
      </c>
    </row>
    <row r="12" spans="1:35" ht="35.25" customHeight="1">
      <c r="A12" s="7" t="s">
        <v>400</v>
      </c>
      <c r="B12" s="7" t="s">
        <v>239</v>
      </c>
      <c r="C12" s="7" t="s">
        <v>401</v>
      </c>
      <c r="D12" s="7" t="s">
        <v>508</v>
      </c>
      <c r="E12" s="7" t="s">
        <v>509</v>
      </c>
      <c r="F12" s="7" t="s">
        <v>356</v>
      </c>
      <c r="G12" s="7"/>
      <c r="H12" s="15">
        <v>3000</v>
      </c>
      <c r="I12" s="15">
        <v>2500</v>
      </c>
      <c r="J12" s="15">
        <v>200</v>
      </c>
      <c r="K12" s="14"/>
      <c r="L12" s="15">
        <v>2000</v>
      </c>
      <c r="M12" s="14"/>
      <c r="N12" s="14"/>
      <c r="O12" s="9">
        <v>47.9</v>
      </c>
      <c r="P12" s="7" t="s">
        <v>511</v>
      </c>
      <c r="Q12" s="15">
        <v>16</v>
      </c>
      <c r="R12" s="7"/>
      <c r="S12" s="15">
        <v>300</v>
      </c>
      <c r="T12" s="9">
        <v>0.4</v>
      </c>
      <c r="U12" s="9">
        <v>64.8</v>
      </c>
      <c r="V12" s="15">
        <v>1724</v>
      </c>
      <c r="W12" s="7" t="s">
        <v>518</v>
      </c>
      <c r="X12" s="15">
        <v>25</v>
      </c>
      <c r="Y12" s="15">
        <v>30</v>
      </c>
      <c r="Z12" s="15">
        <v>600</v>
      </c>
      <c r="AA12" s="15">
        <v>250</v>
      </c>
      <c r="AB12" s="14"/>
      <c r="AC12" s="7" t="s">
        <v>139</v>
      </c>
      <c r="AD12" s="7" t="s">
        <v>141</v>
      </c>
      <c r="AE12" s="7" t="s">
        <v>514</v>
      </c>
      <c r="AF12" s="7" t="s">
        <v>521</v>
      </c>
      <c r="AG12" s="7" t="s">
        <v>516</v>
      </c>
      <c r="AH12" s="7" t="s">
        <v>517</v>
      </c>
      <c r="AI12" s="8" t="s">
        <v>250</v>
      </c>
    </row>
    <row r="13" spans="1:35" ht="35.25" customHeight="1">
      <c r="A13" s="7" t="s">
        <v>402</v>
      </c>
      <c r="B13" s="7" t="s">
        <v>239</v>
      </c>
      <c r="C13" s="7" t="s">
        <v>403</v>
      </c>
      <c r="D13" s="7" t="s">
        <v>508</v>
      </c>
      <c r="E13" s="7" t="s">
        <v>509</v>
      </c>
      <c r="F13" s="7" t="s">
        <v>356</v>
      </c>
      <c r="G13" s="7"/>
      <c r="H13" s="15">
        <v>3000</v>
      </c>
      <c r="I13" s="15">
        <v>2500</v>
      </c>
      <c r="J13" s="15">
        <v>200</v>
      </c>
      <c r="K13" s="14"/>
      <c r="L13" s="15">
        <v>2000</v>
      </c>
      <c r="M13" s="14"/>
      <c r="N13" s="14"/>
      <c r="O13" s="9">
        <v>47.9</v>
      </c>
      <c r="P13" s="7" t="s">
        <v>511</v>
      </c>
      <c r="Q13" s="15">
        <v>16</v>
      </c>
      <c r="R13" s="7"/>
      <c r="S13" s="15">
        <v>300</v>
      </c>
      <c r="T13" s="9">
        <v>0.4</v>
      </c>
      <c r="U13" s="9">
        <v>64.8</v>
      </c>
      <c r="V13" s="15">
        <v>1724</v>
      </c>
      <c r="W13" s="7" t="s">
        <v>518</v>
      </c>
      <c r="X13" s="15">
        <v>25</v>
      </c>
      <c r="Y13" s="15">
        <v>30</v>
      </c>
      <c r="Z13" s="15">
        <v>600</v>
      </c>
      <c r="AA13" s="15">
        <v>250</v>
      </c>
      <c r="AB13" s="14"/>
      <c r="AC13" s="7" t="s">
        <v>404</v>
      </c>
      <c r="AD13" s="7" t="s">
        <v>141</v>
      </c>
      <c r="AE13" s="7" t="s">
        <v>514</v>
      </c>
      <c r="AF13" s="7" t="s">
        <v>519</v>
      </c>
      <c r="AG13" s="7" t="s">
        <v>516</v>
      </c>
      <c r="AH13" s="7" t="s">
        <v>517</v>
      </c>
      <c r="AI13" s="8" t="s">
        <v>250</v>
      </c>
    </row>
    <row r="14" spans="1:35" ht="35.25" customHeight="1">
      <c r="A14" s="7" t="s">
        <v>522</v>
      </c>
      <c r="B14" s="7" t="s">
        <v>134</v>
      </c>
      <c r="C14" s="7" t="s">
        <v>523</v>
      </c>
      <c r="D14" s="7" t="s">
        <v>508</v>
      </c>
      <c r="E14" s="7" t="s">
        <v>524</v>
      </c>
      <c r="F14" s="7" t="s">
        <v>113</v>
      </c>
      <c r="G14" s="7"/>
      <c r="H14" s="15">
        <v>3000</v>
      </c>
      <c r="I14" s="15">
        <v>2500</v>
      </c>
      <c r="J14" s="15">
        <v>200</v>
      </c>
      <c r="K14" s="14"/>
      <c r="L14" s="15">
        <v>2000</v>
      </c>
      <c r="M14" s="14"/>
      <c r="N14" s="14"/>
      <c r="O14" s="9">
        <v>49.1</v>
      </c>
      <c r="P14" s="7" t="s">
        <v>511</v>
      </c>
      <c r="Q14" s="9">
        <v>19.100000000000001</v>
      </c>
      <c r="R14" s="7"/>
      <c r="S14" s="15">
        <v>150</v>
      </c>
      <c r="T14" s="9">
        <v>1.2</v>
      </c>
      <c r="U14" s="9">
        <v>44.5</v>
      </c>
      <c r="V14" s="15">
        <v>637</v>
      </c>
      <c r="W14" s="7" t="s">
        <v>518</v>
      </c>
      <c r="X14" s="15">
        <v>25</v>
      </c>
      <c r="Y14" s="15">
        <v>25</v>
      </c>
      <c r="Z14" s="15">
        <v>600</v>
      </c>
      <c r="AA14" s="15">
        <v>250</v>
      </c>
      <c r="AB14" s="14"/>
      <c r="AC14" s="7" t="s">
        <v>139</v>
      </c>
      <c r="AD14" s="7" t="s">
        <v>141</v>
      </c>
      <c r="AE14" s="7" t="s">
        <v>514</v>
      </c>
      <c r="AF14" s="7"/>
      <c r="AG14" s="7" t="s">
        <v>525</v>
      </c>
      <c r="AH14" s="7" t="s">
        <v>145</v>
      </c>
      <c r="AI14" s="8" t="s">
        <v>146</v>
      </c>
    </row>
    <row r="15" spans="1:35" ht="35.25" customHeight="1">
      <c r="A15" s="7" t="s">
        <v>526</v>
      </c>
      <c r="B15" s="7" t="s">
        <v>134</v>
      </c>
      <c r="C15" s="7" t="s">
        <v>527</v>
      </c>
      <c r="D15" s="7" t="s">
        <v>508</v>
      </c>
      <c r="E15" s="7" t="s">
        <v>524</v>
      </c>
      <c r="F15" s="7" t="s">
        <v>113</v>
      </c>
      <c r="G15" s="7"/>
      <c r="H15" s="15">
        <v>3000</v>
      </c>
      <c r="I15" s="15">
        <v>2500</v>
      </c>
      <c r="J15" s="15">
        <v>175</v>
      </c>
      <c r="K15" s="14"/>
      <c r="L15" s="15">
        <v>2000</v>
      </c>
      <c r="M15" s="14"/>
      <c r="N15" s="14"/>
      <c r="O15" s="9">
        <v>35.200000000000003</v>
      </c>
      <c r="P15" s="7" t="s">
        <v>511</v>
      </c>
      <c r="Q15" s="9">
        <v>15.9</v>
      </c>
      <c r="R15" s="7"/>
      <c r="S15" s="15">
        <v>115</v>
      </c>
      <c r="T15" s="9">
        <v>1.2</v>
      </c>
      <c r="U15" s="9">
        <v>41.6</v>
      </c>
      <c r="V15" s="15">
        <v>778</v>
      </c>
      <c r="W15" s="7" t="s">
        <v>518</v>
      </c>
      <c r="X15" s="15">
        <v>25</v>
      </c>
      <c r="Y15" s="15">
        <v>25</v>
      </c>
      <c r="Z15" s="15">
        <v>600</v>
      </c>
      <c r="AA15" s="15">
        <v>250</v>
      </c>
      <c r="AB15" s="14"/>
      <c r="AC15" s="7" t="s">
        <v>139</v>
      </c>
      <c r="AD15" s="7" t="s">
        <v>141</v>
      </c>
      <c r="AE15" s="7" t="s">
        <v>514</v>
      </c>
      <c r="AF15" s="7"/>
      <c r="AG15" s="7" t="s">
        <v>525</v>
      </c>
      <c r="AH15" s="7" t="s">
        <v>145</v>
      </c>
      <c r="AI15" s="8" t="s">
        <v>146</v>
      </c>
    </row>
    <row r="16" spans="1:35" ht="35.25" customHeight="1">
      <c r="A16" s="7" t="s">
        <v>528</v>
      </c>
      <c r="B16" s="7" t="s">
        <v>134</v>
      </c>
      <c r="C16" s="7" t="s">
        <v>529</v>
      </c>
      <c r="D16" s="7" t="s">
        <v>508</v>
      </c>
      <c r="E16" s="7" t="s">
        <v>524</v>
      </c>
      <c r="F16" s="7" t="s">
        <v>113</v>
      </c>
      <c r="G16" s="7"/>
      <c r="H16" s="15">
        <v>3000</v>
      </c>
      <c r="I16" s="15">
        <v>2500</v>
      </c>
      <c r="J16" s="15">
        <v>150</v>
      </c>
      <c r="K16" s="14"/>
      <c r="L16" s="15">
        <v>2000</v>
      </c>
      <c r="M16" s="14"/>
      <c r="N16" s="14"/>
      <c r="O16" s="9">
        <v>35.200000000000003</v>
      </c>
      <c r="P16" s="7" t="s">
        <v>511</v>
      </c>
      <c r="Q16" s="9">
        <v>15.9</v>
      </c>
      <c r="R16" s="7"/>
      <c r="S16" s="15">
        <v>140</v>
      </c>
      <c r="T16" s="9">
        <v>1.2</v>
      </c>
      <c r="U16" s="9">
        <v>41.6</v>
      </c>
      <c r="V16" s="15">
        <v>778</v>
      </c>
      <c r="W16" s="7" t="s">
        <v>518</v>
      </c>
      <c r="X16" s="15">
        <v>25</v>
      </c>
      <c r="Y16" s="15">
        <v>25</v>
      </c>
      <c r="Z16" s="15">
        <v>600</v>
      </c>
      <c r="AA16" s="15">
        <v>250</v>
      </c>
      <c r="AB16" s="14"/>
      <c r="AC16" s="7" t="s">
        <v>139</v>
      </c>
      <c r="AD16" s="7" t="s">
        <v>141</v>
      </c>
      <c r="AE16" s="7" t="s">
        <v>514</v>
      </c>
      <c r="AF16" s="7"/>
      <c r="AG16" s="7" t="s">
        <v>525</v>
      </c>
      <c r="AH16" s="7" t="s">
        <v>145</v>
      </c>
      <c r="AI16" s="8" t="s">
        <v>146</v>
      </c>
    </row>
    <row r="17" spans="1:35" ht="35.25" customHeight="1">
      <c r="A17" s="7" t="s">
        <v>530</v>
      </c>
      <c r="B17" s="7" t="s">
        <v>134</v>
      </c>
      <c r="C17" s="7" t="s">
        <v>531</v>
      </c>
      <c r="D17" s="7" t="s">
        <v>508</v>
      </c>
      <c r="E17" s="7" t="s">
        <v>524</v>
      </c>
      <c r="F17" s="7" t="s">
        <v>113</v>
      </c>
      <c r="G17" s="7"/>
      <c r="H17" s="15">
        <v>3000</v>
      </c>
      <c r="I17" s="15">
        <v>2500</v>
      </c>
      <c r="J17" s="15">
        <v>175</v>
      </c>
      <c r="K17" s="14"/>
      <c r="L17" s="15">
        <v>2000</v>
      </c>
      <c r="M17" s="14"/>
      <c r="N17" s="14"/>
      <c r="O17" s="9">
        <v>64.8</v>
      </c>
      <c r="P17" s="7" t="s">
        <v>511</v>
      </c>
      <c r="Q17" s="9">
        <v>15.9</v>
      </c>
      <c r="R17" s="7"/>
      <c r="S17" s="15">
        <v>115</v>
      </c>
      <c r="T17" s="9">
        <v>1.2</v>
      </c>
      <c r="U17" s="9">
        <v>41.6</v>
      </c>
      <c r="V17" s="15">
        <v>778</v>
      </c>
      <c r="W17" s="7" t="s">
        <v>518</v>
      </c>
      <c r="X17" s="15">
        <v>25</v>
      </c>
      <c r="Y17" s="15">
        <v>25</v>
      </c>
      <c r="Z17" s="15">
        <v>600</v>
      </c>
      <c r="AA17" s="15">
        <v>250</v>
      </c>
      <c r="AB17" s="14"/>
      <c r="AC17" s="7" t="s">
        <v>139</v>
      </c>
      <c r="AD17" s="7" t="s">
        <v>141</v>
      </c>
      <c r="AE17" s="7" t="s">
        <v>514</v>
      </c>
      <c r="AF17" s="7"/>
      <c r="AG17" s="7" t="s">
        <v>525</v>
      </c>
      <c r="AH17" s="7" t="s">
        <v>145</v>
      </c>
      <c r="AI17" s="8" t="s">
        <v>146</v>
      </c>
    </row>
    <row r="18" spans="1:35" ht="35.25" customHeight="1">
      <c r="A18" s="7" t="s">
        <v>532</v>
      </c>
      <c r="B18" s="7" t="s">
        <v>134</v>
      </c>
      <c r="C18" s="7" t="s">
        <v>533</v>
      </c>
      <c r="D18" s="7" t="s">
        <v>508</v>
      </c>
      <c r="E18" s="7" t="s">
        <v>524</v>
      </c>
      <c r="F18" s="7" t="s">
        <v>113</v>
      </c>
      <c r="G18" s="7"/>
      <c r="H18" s="15">
        <v>3000</v>
      </c>
      <c r="I18" s="15">
        <v>2500</v>
      </c>
      <c r="J18" s="15">
        <v>175</v>
      </c>
      <c r="K18" s="14"/>
      <c r="L18" s="15">
        <v>2000</v>
      </c>
      <c r="M18" s="14"/>
      <c r="N18" s="14"/>
      <c r="O18" s="9">
        <v>53.1</v>
      </c>
      <c r="P18" s="7" t="s">
        <v>511</v>
      </c>
      <c r="Q18" s="9">
        <v>15.9</v>
      </c>
      <c r="R18" s="7"/>
      <c r="S18" s="15">
        <v>200</v>
      </c>
      <c r="T18" s="9">
        <v>0.7</v>
      </c>
      <c r="U18" s="9">
        <v>41.6</v>
      </c>
      <c r="V18" s="15">
        <v>778</v>
      </c>
      <c r="W18" s="7" t="s">
        <v>518</v>
      </c>
      <c r="X18" s="15">
        <v>25</v>
      </c>
      <c r="Y18" s="15">
        <v>25</v>
      </c>
      <c r="Z18" s="15">
        <v>600</v>
      </c>
      <c r="AA18" s="15">
        <v>250</v>
      </c>
      <c r="AB18" s="14"/>
      <c r="AC18" s="7" t="s">
        <v>139</v>
      </c>
      <c r="AD18" s="7" t="s">
        <v>141</v>
      </c>
      <c r="AE18" s="7" t="s">
        <v>514</v>
      </c>
      <c r="AF18" s="7"/>
      <c r="AG18" s="7" t="s">
        <v>525</v>
      </c>
      <c r="AH18" s="7" t="s">
        <v>145</v>
      </c>
      <c r="AI18" s="8" t="s">
        <v>146</v>
      </c>
    </row>
    <row r="19" spans="1:35" ht="35.25" customHeight="1">
      <c r="A19" s="7" t="s">
        <v>534</v>
      </c>
      <c r="B19" s="7" t="s">
        <v>134</v>
      </c>
      <c r="C19" s="7" t="s">
        <v>535</v>
      </c>
      <c r="D19" s="7" t="s">
        <v>508</v>
      </c>
      <c r="E19" s="7" t="s">
        <v>524</v>
      </c>
      <c r="F19" s="7" t="s">
        <v>113</v>
      </c>
      <c r="G19" s="7"/>
      <c r="H19" s="15">
        <v>3000</v>
      </c>
      <c r="I19" s="15">
        <v>2500</v>
      </c>
      <c r="J19" s="15">
        <v>175</v>
      </c>
      <c r="K19" s="14"/>
      <c r="L19" s="15">
        <v>2000</v>
      </c>
      <c r="M19" s="14"/>
      <c r="N19" s="14"/>
      <c r="O19" s="9">
        <v>53.1</v>
      </c>
      <c r="P19" s="7" t="s">
        <v>511</v>
      </c>
      <c r="Q19" s="9">
        <v>12.7</v>
      </c>
      <c r="R19" s="7"/>
      <c r="S19" s="15">
        <v>255</v>
      </c>
      <c r="T19" s="10">
        <v>0.35</v>
      </c>
      <c r="U19" s="15">
        <v>41</v>
      </c>
      <c r="V19" s="15">
        <v>769</v>
      </c>
      <c r="W19" s="7" t="s">
        <v>518</v>
      </c>
      <c r="X19" s="15">
        <v>25</v>
      </c>
      <c r="Y19" s="15">
        <v>25</v>
      </c>
      <c r="Z19" s="15">
        <v>600</v>
      </c>
      <c r="AA19" s="15">
        <v>250</v>
      </c>
      <c r="AB19" s="14"/>
      <c r="AC19" s="7" t="s">
        <v>139</v>
      </c>
      <c r="AD19" s="7" t="s">
        <v>141</v>
      </c>
      <c r="AE19" s="7" t="s">
        <v>514</v>
      </c>
      <c r="AF19" s="7"/>
      <c r="AG19" s="7" t="s">
        <v>525</v>
      </c>
      <c r="AH19" s="7" t="s">
        <v>145</v>
      </c>
      <c r="AI19" s="8" t="s">
        <v>146</v>
      </c>
    </row>
    <row r="20" spans="1:35" ht="35.25" customHeight="1">
      <c r="A20" s="7" t="s">
        <v>536</v>
      </c>
      <c r="B20" s="7" t="s">
        <v>134</v>
      </c>
      <c r="C20" s="7" t="s">
        <v>537</v>
      </c>
      <c r="D20" s="7" t="s">
        <v>508</v>
      </c>
      <c r="E20" s="7" t="s">
        <v>524</v>
      </c>
      <c r="F20" s="7" t="s">
        <v>510</v>
      </c>
      <c r="G20" s="7"/>
      <c r="H20" s="15">
        <v>3000</v>
      </c>
      <c r="I20" s="15">
        <v>2500</v>
      </c>
      <c r="J20" s="15">
        <v>175</v>
      </c>
      <c r="K20" s="14"/>
      <c r="L20" s="15">
        <v>2000</v>
      </c>
      <c r="M20" s="14"/>
      <c r="N20" s="14"/>
      <c r="O20" s="9">
        <v>42.3</v>
      </c>
      <c r="P20" s="7" t="s">
        <v>511</v>
      </c>
      <c r="Q20" s="9">
        <v>11.3</v>
      </c>
      <c r="R20" s="7"/>
      <c r="S20" s="15">
        <v>230</v>
      </c>
      <c r="T20" s="9">
        <v>0.3</v>
      </c>
      <c r="U20" s="15">
        <v>200</v>
      </c>
      <c r="V20" s="15">
        <v>453</v>
      </c>
      <c r="W20" s="7" t="s">
        <v>518</v>
      </c>
      <c r="X20" s="15">
        <v>25</v>
      </c>
      <c r="Y20" s="15">
        <v>25</v>
      </c>
      <c r="Z20" s="15">
        <v>600</v>
      </c>
      <c r="AA20" s="15">
        <v>250</v>
      </c>
      <c r="AB20" s="14"/>
      <c r="AC20" s="7" t="s">
        <v>139</v>
      </c>
      <c r="AD20" s="7" t="s">
        <v>141</v>
      </c>
      <c r="AE20" s="7" t="s">
        <v>514</v>
      </c>
      <c r="AF20" s="7"/>
      <c r="AG20" s="7" t="s">
        <v>525</v>
      </c>
      <c r="AH20" s="7" t="s">
        <v>145</v>
      </c>
      <c r="AI20" s="8" t="s">
        <v>146</v>
      </c>
    </row>
    <row r="21" spans="1:35" ht="35.25" customHeight="1">
      <c r="A21" s="7" t="s">
        <v>538</v>
      </c>
      <c r="B21" s="7" t="s">
        <v>134</v>
      </c>
      <c r="C21" s="7" t="s">
        <v>539</v>
      </c>
      <c r="D21" s="7" t="s">
        <v>508</v>
      </c>
      <c r="E21" s="7" t="s">
        <v>524</v>
      </c>
      <c r="F21" s="7" t="s">
        <v>268</v>
      </c>
      <c r="G21" s="7"/>
      <c r="H21" s="15">
        <v>3000</v>
      </c>
      <c r="I21" s="15">
        <v>2500</v>
      </c>
      <c r="J21" s="15">
        <v>175</v>
      </c>
      <c r="K21" s="14"/>
      <c r="L21" s="15">
        <v>2000</v>
      </c>
      <c r="M21" s="14"/>
      <c r="N21" s="14"/>
      <c r="O21" s="9">
        <v>40.299999999999997</v>
      </c>
      <c r="P21" s="7" t="s">
        <v>511</v>
      </c>
      <c r="Q21" s="9">
        <v>9.5</v>
      </c>
      <c r="R21" s="7"/>
      <c r="S21" s="15">
        <v>125</v>
      </c>
      <c r="T21" s="9">
        <v>0.4</v>
      </c>
      <c r="U21" s="15">
        <v>122</v>
      </c>
      <c r="V21" s="15">
        <v>1444</v>
      </c>
      <c r="W21" s="7" t="s">
        <v>518</v>
      </c>
      <c r="X21" s="15">
        <v>25</v>
      </c>
      <c r="Y21" s="15">
        <v>25</v>
      </c>
      <c r="Z21" s="15">
        <v>600</v>
      </c>
      <c r="AA21" s="15">
        <v>250</v>
      </c>
      <c r="AB21" s="14"/>
      <c r="AC21" s="7" t="s">
        <v>139</v>
      </c>
      <c r="AD21" s="7" t="s">
        <v>141</v>
      </c>
      <c r="AE21" s="7" t="s">
        <v>514</v>
      </c>
      <c r="AF21" s="7"/>
      <c r="AG21" s="7" t="s">
        <v>525</v>
      </c>
      <c r="AH21" s="7" t="s">
        <v>145</v>
      </c>
      <c r="AI21" s="8" t="s">
        <v>146</v>
      </c>
    </row>
    <row r="22" spans="1:35" ht="48.75" customHeight="1">
      <c r="A22" s="7" t="s">
        <v>540</v>
      </c>
      <c r="B22" s="7" t="s">
        <v>73</v>
      </c>
      <c r="C22" s="7" t="s">
        <v>541</v>
      </c>
      <c r="D22" s="7" t="s">
        <v>508</v>
      </c>
      <c r="E22" s="7" t="s">
        <v>542</v>
      </c>
      <c r="F22" s="7" t="s">
        <v>113</v>
      </c>
      <c r="G22" s="7"/>
      <c r="H22" s="15">
        <v>2350</v>
      </c>
      <c r="I22" s="15">
        <v>500</v>
      </c>
      <c r="J22" s="15">
        <v>120</v>
      </c>
      <c r="K22" s="14"/>
      <c r="L22" s="15">
        <v>2100</v>
      </c>
      <c r="M22" s="15">
        <v>750</v>
      </c>
      <c r="N22" s="14"/>
      <c r="O22" s="15">
        <v>51</v>
      </c>
      <c r="P22" s="7" t="s">
        <v>543</v>
      </c>
      <c r="Q22" s="10">
        <v>6.35</v>
      </c>
      <c r="R22" s="7"/>
      <c r="S22" s="14"/>
      <c r="T22" s="10">
        <v>0.35</v>
      </c>
      <c r="U22" s="9">
        <v>38.9</v>
      </c>
      <c r="V22" s="15">
        <v>600</v>
      </c>
      <c r="W22" s="7" t="s">
        <v>518</v>
      </c>
      <c r="X22" s="9">
        <v>27.5</v>
      </c>
      <c r="Y22" s="14"/>
      <c r="Z22" s="14"/>
      <c r="AA22" s="14"/>
      <c r="AB22" s="14"/>
      <c r="AC22" s="7" t="s">
        <v>35</v>
      </c>
      <c r="AD22" s="7" t="s">
        <v>79</v>
      </c>
      <c r="AE22" s="7" t="s">
        <v>544</v>
      </c>
      <c r="AF22" s="7" t="s">
        <v>545</v>
      </c>
      <c r="AG22" s="7" t="s">
        <v>516</v>
      </c>
      <c r="AH22" s="7" t="s">
        <v>84</v>
      </c>
      <c r="AI22" s="8" t="s">
        <v>85</v>
      </c>
    </row>
    <row r="23" spans="1:35" ht="48.75" customHeight="1">
      <c r="A23" s="7" t="s">
        <v>546</v>
      </c>
      <c r="B23" s="7" t="s">
        <v>73</v>
      </c>
      <c r="C23" s="7" t="s">
        <v>547</v>
      </c>
      <c r="D23" s="7" t="s">
        <v>508</v>
      </c>
      <c r="E23" s="7" t="s">
        <v>542</v>
      </c>
      <c r="F23" s="7" t="s">
        <v>113</v>
      </c>
      <c r="G23" s="7"/>
      <c r="H23" s="15">
        <v>2350</v>
      </c>
      <c r="I23" s="15">
        <v>500</v>
      </c>
      <c r="J23" s="15">
        <v>120</v>
      </c>
      <c r="K23" s="14"/>
      <c r="L23" s="15">
        <v>2100</v>
      </c>
      <c r="M23" s="15">
        <v>750</v>
      </c>
      <c r="N23" s="14"/>
      <c r="O23" s="15">
        <v>51</v>
      </c>
      <c r="P23" s="7" t="s">
        <v>543</v>
      </c>
      <c r="Q23" s="10">
        <v>6.35</v>
      </c>
      <c r="R23" s="7"/>
      <c r="S23" s="14"/>
      <c r="T23" s="10">
        <v>0.35</v>
      </c>
      <c r="U23" s="9">
        <v>38.9</v>
      </c>
      <c r="V23" s="15">
        <v>600</v>
      </c>
      <c r="W23" s="7" t="s">
        <v>518</v>
      </c>
      <c r="X23" s="9">
        <v>27.5</v>
      </c>
      <c r="Y23" s="14"/>
      <c r="Z23" s="14"/>
      <c r="AA23" s="14"/>
      <c r="AB23" s="14"/>
      <c r="AC23" s="7" t="s">
        <v>35</v>
      </c>
      <c r="AD23" s="7" t="s">
        <v>79</v>
      </c>
      <c r="AE23" s="7" t="s">
        <v>544</v>
      </c>
      <c r="AF23" s="7" t="s">
        <v>545</v>
      </c>
      <c r="AG23" s="7" t="s">
        <v>516</v>
      </c>
      <c r="AH23" s="7" t="s">
        <v>84</v>
      </c>
      <c r="AI23" s="8" t="s">
        <v>85</v>
      </c>
    </row>
    <row r="24" spans="1:35" ht="48.75" customHeight="1">
      <c r="A24" s="7" t="s">
        <v>548</v>
      </c>
      <c r="B24" s="7" t="s">
        <v>73</v>
      </c>
      <c r="C24" s="7" t="s">
        <v>549</v>
      </c>
      <c r="D24" s="7" t="s">
        <v>508</v>
      </c>
      <c r="E24" s="7" t="s">
        <v>542</v>
      </c>
      <c r="F24" s="7" t="s">
        <v>113</v>
      </c>
      <c r="G24" s="7"/>
      <c r="H24" s="15">
        <v>2350</v>
      </c>
      <c r="I24" s="15">
        <v>500</v>
      </c>
      <c r="J24" s="15">
        <v>120</v>
      </c>
      <c r="K24" s="14"/>
      <c r="L24" s="15">
        <v>2100</v>
      </c>
      <c r="M24" s="15">
        <v>750</v>
      </c>
      <c r="N24" s="14"/>
      <c r="O24" s="9">
        <v>46.2</v>
      </c>
      <c r="P24" s="7" t="s">
        <v>543</v>
      </c>
      <c r="Q24" s="10">
        <v>9.5299999999999994</v>
      </c>
      <c r="R24" s="7"/>
      <c r="S24" s="14"/>
      <c r="T24" s="10">
        <v>0.79</v>
      </c>
      <c r="U24" s="9">
        <v>42.8</v>
      </c>
      <c r="V24" s="15">
        <v>665</v>
      </c>
      <c r="W24" s="7" t="s">
        <v>518</v>
      </c>
      <c r="X24" s="15">
        <v>31</v>
      </c>
      <c r="Y24" s="14"/>
      <c r="Z24" s="14"/>
      <c r="AA24" s="14"/>
      <c r="AB24" s="14"/>
      <c r="AC24" s="7" t="s">
        <v>35</v>
      </c>
      <c r="AD24" s="7" t="s">
        <v>79</v>
      </c>
      <c r="AE24" s="7" t="s">
        <v>550</v>
      </c>
      <c r="AF24" s="7" t="s">
        <v>545</v>
      </c>
      <c r="AG24" s="7" t="s">
        <v>516</v>
      </c>
      <c r="AH24" s="7" t="s">
        <v>84</v>
      </c>
      <c r="AI24" s="8" t="s">
        <v>85</v>
      </c>
    </row>
    <row r="25" spans="1:35" ht="48.75" customHeight="1">
      <c r="A25" s="7" t="s">
        <v>551</v>
      </c>
      <c r="B25" s="7" t="s">
        <v>73</v>
      </c>
      <c r="C25" s="7" t="s">
        <v>552</v>
      </c>
      <c r="D25" s="7" t="s">
        <v>508</v>
      </c>
      <c r="E25" s="7" t="s">
        <v>542</v>
      </c>
      <c r="F25" s="7" t="s">
        <v>113</v>
      </c>
      <c r="G25" s="7"/>
      <c r="H25" s="15">
        <v>2350</v>
      </c>
      <c r="I25" s="15">
        <v>500</v>
      </c>
      <c r="J25" s="15">
        <v>120</v>
      </c>
      <c r="K25" s="14"/>
      <c r="L25" s="15">
        <v>2100</v>
      </c>
      <c r="M25" s="15">
        <v>750</v>
      </c>
      <c r="N25" s="14"/>
      <c r="O25" s="9">
        <v>46.2</v>
      </c>
      <c r="P25" s="7" t="s">
        <v>543</v>
      </c>
      <c r="Q25" s="10">
        <v>9.5299999999999994</v>
      </c>
      <c r="R25" s="7"/>
      <c r="S25" s="14"/>
      <c r="T25" s="10">
        <v>0.79</v>
      </c>
      <c r="U25" s="9">
        <v>42.8</v>
      </c>
      <c r="V25" s="15">
        <v>665</v>
      </c>
      <c r="W25" s="7" t="s">
        <v>518</v>
      </c>
      <c r="X25" s="15">
        <v>31</v>
      </c>
      <c r="Y25" s="14"/>
      <c r="Z25" s="14"/>
      <c r="AA25" s="14"/>
      <c r="AB25" s="14"/>
      <c r="AC25" s="7" t="s">
        <v>35</v>
      </c>
      <c r="AD25" s="7" t="s">
        <v>79</v>
      </c>
      <c r="AE25" s="7" t="s">
        <v>550</v>
      </c>
      <c r="AF25" s="7" t="s">
        <v>545</v>
      </c>
      <c r="AG25" s="7" t="s">
        <v>516</v>
      </c>
      <c r="AH25" s="7" t="s">
        <v>84</v>
      </c>
      <c r="AI25" s="8" t="s">
        <v>85</v>
      </c>
    </row>
    <row r="26" spans="1:35" ht="48.75" customHeight="1">
      <c r="A26" s="7" t="s">
        <v>553</v>
      </c>
      <c r="B26" s="7" t="s">
        <v>73</v>
      </c>
      <c r="C26" s="7" t="s">
        <v>554</v>
      </c>
      <c r="D26" s="7" t="s">
        <v>508</v>
      </c>
      <c r="E26" s="7" t="s">
        <v>542</v>
      </c>
      <c r="F26" s="7" t="s">
        <v>113</v>
      </c>
      <c r="G26" s="7"/>
      <c r="H26" s="15">
        <v>2350</v>
      </c>
      <c r="I26" s="15">
        <v>500</v>
      </c>
      <c r="J26" s="15">
        <v>120</v>
      </c>
      <c r="K26" s="14"/>
      <c r="L26" s="15">
        <v>2100</v>
      </c>
      <c r="M26" s="15">
        <v>750</v>
      </c>
      <c r="N26" s="14"/>
      <c r="O26" s="9">
        <v>45.9</v>
      </c>
      <c r="P26" s="7" t="s">
        <v>543</v>
      </c>
      <c r="Q26" s="10">
        <v>19.05</v>
      </c>
      <c r="R26" s="7"/>
      <c r="S26" s="14"/>
      <c r="T26" s="10">
        <v>3.33</v>
      </c>
      <c r="U26" s="15">
        <v>42</v>
      </c>
      <c r="V26" s="15">
        <v>670</v>
      </c>
      <c r="W26" s="7" t="s">
        <v>518</v>
      </c>
      <c r="X26" s="15">
        <v>40</v>
      </c>
      <c r="Y26" s="14"/>
      <c r="Z26" s="14"/>
      <c r="AA26" s="14"/>
      <c r="AB26" s="14"/>
      <c r="AC26" s="7" t="s">
        <v>35</v>
      </c>
      <c r="AD26" s="7" t="s">
        <v>79</v>
      </c>
      <c r="AE26" s="7" t="s">
        <v>555</v>
      </c>
      <c r="AF26" s="7" t="s">
        <v>545</v>
      </c>
      <c r="AG26" s="7" t="s">
        <v>516</v>
      </c>
      <c r="AH26" s="7" t="s">
        <v>84</v>
      </c>
      <c r="AI26" s="8" t="s">
        <v>85</v>
      </c>
    </row>
    <row r="27" spans="1:35" ht="48.75" customHeight="1">
      <c r="A27" s="7" t="s">
        <v>556</v>
      </c>
      <c r="B27" s="7" t="s">
        <v>73</v>
      </c>
      <c r="C27" s="7" t="s">
        <v>557</v>
      </c>
      <c r="D27" s="7" t="s">
        <v>508</v>
      </c>
      <c r="E27" s="7" t="s">
        <v>542</v>
      </c>
      <c r="F27" s="7" t="s">
        <v>113</v>
      </c>
      <c r="G27" s="7"/>
      <c r="H27" s="15">
        <v>2350</v>
      </c>
      <c r="I27" s="15">
        <v>500</v>
      </c>
      <c r="J27" s="15">
        <v>120</v>
      </c>
      <c r="K27" s="14"/>
      <c r="L27" s="15">
        <v>2100</v>
      </c>
      <c r="M27" s="15">
        <v>750</v>
      </c>
      <c r="N27" s="14"/>
      <c r="O27" s="9">
        <v>45.9</v>
      </c>
      <c r="P27" s="7" t="s">
        <v>543</v>
      </c>
      <c r="Q27" s="10">
        <v>19.05</v>
      </c>
      <c r="R27" s="7"/>
      <c r="S27" s="14"/>
      <c r="T27" s="10">
        <v>3.33</v>
      </c>
      <c r="U27" s="15">
        <v>42</v>
      </c>
      <c r="V27" s="15">
        <v>670</v>
      </c>
      <c r="W27" s="7" t="s">
        <v>518</v>
      </c>
      <c r="X27" s="15">
        <v>40</v>
      </c>
      <c r="Y27" s="14"/>
      <c r="Z27" s="14"/>
      <c r="AA27" s="14"/>
      <c r="AB27" s="14"/>
      <c r="AC27" s="7" t="s">
        <v>35</v>
      </c>
      <c r="AD27" s="7" t="s">
        <v>79</v>
      </c>
      <c r="AE27" s="7" t="s">
        <v>555</v>
      </c>
      <c r="AF27" s="7" t="s">
        <v>545</v>
      </c>
      <c r="AG27" s="7" t="s">
        <v>516</v>
      </c>
      <c r="AH27" s="7" t="s">
        <v>84</v>
      </c>
      <c r="AI27" s="8" t="s">
        <v>85</v>
      </c>
    </row>
    <row r="28" spans="1:35" ht="48.75" customHeight="1">
      <c r="A28" s="7" t="s">
        <v>558</v>
      </c>
      <c r="B28" s="7" t="s">
        <v>73</v>
      </c>
      <c r="C28" s="7" t="s">
        <v>559</v>
      </c>
      <c r="D28" s="7" t="s">
        <v>508</v>
      </c>
      <c r="E28" s="7" t="s">
        <v>542</v>
      </c>
      <c r="F28" s="7" t="s">
        <v>268</v>
      </c>
      <c r="G28" s="7"/>
      <c r="H28" s="15">
        <v>2350</v>
      </c>
      <c r="I28" s="15">
        <v>500</v>
      </c>
      <c r="J28" s="15">
        <v>120</v>
      </c>
      <c r="K28" s="14"/>
      <c r="L28" s="15">
        <v>2100</v>
      </c>
      <c r="M28" s="15">
        <v>750</v>
      </c>
      <c r="N28" s="14"/>
      <c r="O28" s="9">
        <v>50.1</v>
      </c>
      <c r="P28" s="7" t="s">
        <v>543</v>
      </c>
      <c r="Q28" s="10">
        <v>6.35</v>
      </c>
      <c r="R28" s="7"/>
      <c r="S28" s="14"/>
      <c r="T28" s="10">
        <v>0.28000000000000003</v>
      </c>
      <c r="U28" s="15">
        <v>133</v>
      </c>
      <c r="V28" s="15">
        <v>1450</v>
      </c>
      <c r="W28" s="7" t="s">
        <v>518</v>
      </c>
      <c r="X28" s="15">
        <v>31</v>
      </c>
      <c r="Y28" s="14"/>
      <c r="Z28" s="14"/>
      <c r="AA28" s="14"/>
      <c r="AB28" s="14"/>
      <c r="AC28" s="7" t="s">
        <v>35</v>
      </c>
      <c r="AD28" s="7" t="s">
        <v>79</v>
      </c>
      <c r="AE28" s="7" t="s">
        <v>544</v>
      </c>
      <c r="AF28" s="7" t="s">
        <v>545</v>
      </c>
      <c r="AG28" s="7" t="s">
        <v>516</v>
      </c>
      <c r="AH28" s="7" t="s">
        <v>84</v>
      </c>
      <c r="AI28" s="8" t="s">
        <v>85</v>
      </c>
    </row>
    <row r="29" spans="1:35" ht="48.75" customHeight="1">
      <c r="A29" s="7" t="s">
        <v>560</v>
      </c>
      <c r="B29" s="7" t="s">
        <v>73</v>
      </c>
      <c r="C29" s="7" t="s">
        <v>561</v>
      </c>
      <c r="D29" s="7" t="s">
        <v>508</v>
      </c>
      <c r="E29" s="7" t="s">
        <v>542</v>
      </c>
      <c r="F29" s="7" t="s">
        <v>268</v>
      </c>
      <c r="G29" s="7"/>
      <c r="H29" s="15">
        <v>2350</v>
      </c>
      <c r="I29" s="15">
        <v>500</v>
      </c>
      <c r="J29" s="15">
        <v>120</v>
      </c>
      <c r="K29" s="14"/>
      <c r="L29" s="15">
        <v>2100</v>
      </c>
      <c r="M29" s="15">
        <v>750</v>
      </c>
      <c r="N29" s="14"/>
      <c r="O29" s="9">
        <v>50.1</v>
      </c>
      <c r="P29" s="7" t="s">
        <v>543</v>
      </c>
      <c r="Q29" s="10">
        <v>6.35</v>
      </c>
      <c r="R29" s="7"/>
      <c r="S29" s="14"/>
      <c r="T29" s="10">
        <v>0.28000000000000003</v>
      </c>
      <c r="U29" s="15">
        <v>133</v>
      </c>
      <c r="V29" s="15">
        <v>1450</v>
      </c>
      <c r="W29" s="7" t="s">
        <v>518</v>
      </c>
      <c r="X29" s="15">
        <v>33</v>
      </c>
      <c r="Y29" s="14"/>
      <c r="Z29" s="14"/>
      <c r="AA29" s="14"/>
      <c r="AB29" s="14"/>
      <c r="AC29" s="7" t="s">
        <v>35</v>
      </c>
      <c r="AD29" s="7" t="s">
        <v>79</v>
      </c>
      <c r="AE29" s="7" t="s">
        <v>544</v>
      </c>
      <c r="AF29" s="7" t="s">
        <v>545</v>
      </c>
      <c r="AG29" s="7" t="s">
        <v>516</v>
      </c>
      <c r="AH29" s="7" t="s">
        <v>84</v>
      </c>
      <c r="AI29" s="8" t="s">
        <v>85</v>
      </c>
    </row>
    <row r="30" spans="1:35" ht="48.75" customHeight="1">
      <c r="A30" s="7" t="s">
        <v>562</v>
      </c>
      <c r="B30" s="7" t="s">
        <v>73</v>
      </c>
      <c r="C30" s="7" t="s">
        <v>563</v>
      </c>
      <c r="D30" s="7" t="s">
        <v>508</v>
      </c>
      <c r="E30" s="7" t="s">
        <v>542</v>
      </c>
      <c r="F30" s="7" t="s">
        <v>268</v>
      </c>
      <c r="G30" s="7"/>
      <c r="H30" s="15">
        <v>2350</v>
      </c>
      <c r="I30" s="15">
        <v>500</v>
      </c>
      <c r="J30" s="15">
        <v>120</v>
      </c>
      <c r="K30" s="14"/>
      <c r="L30" s="15">
        <v>2100</v>
      </c>
      <c r="M30" s="15">
        <v>750</v>
      </c>
      <c r="N30" s="14"/>
      <c r="O30" s="15">
        <v>51</v>
      </c>
      <c r="P30" s="7" t="s">
        <v>543</v>
      </c>
      <c r="Q30" s="10">
        <v>9.5299999999999994</v>
      </c>
      <c r="R30" s="7"/>
      <c r="S30" s="14"/>
      <c r="T30" s="10">
        <v>0.63</v>
      </c>
      <c r="U30" s="15">
        <v>132</v>
      </c>
      <c r="V30" s="15">
        <v>1320</v>
      </c>
      <c r="W30" s="7" t="s">
        <v>518</v>
      </c>
      <c r="X30" s="15">
        <v>38</v>
      </c>
      <c r="Y30" s="14"/>
      <c r="Z30" s="14"/>
      <c r="AA30" s="14"/>
      <c r="AB30" s="14"/>
      <c r="AC30" s="7" t="s">
        <v>35</v>
      </c>
      <c r="AD30" s="7" t="s">
        <v>79</v>
      </c>
      <c r="AE30" s="7" t="s">
        <v>550</v>
      </c>
      <c r="AF30" s="7" t="s">
        <v>545</v>
      </c>
      <c r="AG30" s="7" t="s">
        <v>516</v>
      </c>
      <c r="AH30" s="7" t="s">
        <v>84</v>
      </c>
      <c r="AI30" s="8" t="s">
        <v>85</v>
      </c>
    </row>
    <row r="31" spans="1:35" ht="48.75" customHeight="1">
      <c r="A31" s="7" t="s">
        <v>564</v>
      </c>
      <c r="B31" s="7" t="s">
        <v>73</v>
      </c>
      <c r="C31" s="7" t="s">
        <v>565</v>
      </c>
      <c r="D31" s="7" t="s">
        <v>508</v>
      </c>
      <c r="E31" s="7" t="s">
        <v>542</v>
      </c>
      <c r="F31" s="7" t="s">
        <v>268</v>
      </c>
      <c r="G31" s="7"/>
      <c r="H31" s="15">
        <v>2350</v>
      </c>
      <c r="I31" s="15">
        <v>500</v>
      </c>
      <c r="J31" s="15">
        <v>120</v>
      </c>
      <c r="K31" s="14"/>
      <c r="L31" s="15">
        <v>2100</v>
      </c>
      <c r="M31" s="15">
        <v>750</v>
      </c>
      <c r="N31" s="14"/>
      <c r="O31" s="15">
        <v>51</v>
      </c>
      <c r="P31" s="7" t="s">
        <v>543</v>
      </c>
      <c r="Q31" s="10">
        <v>9.5299999999999994</v>
      </c>
      <c r="R31" s="7"/>
      <c r="S31" s="14"/>
      <c r="T31" s="10">
        <v>0.63</v>
      </c>
      <c r="U31" s="15">
        <v>132</v>
      </c>
      <c r="V31" s="15">
        <v>1320</v>
      </c>
      <c r="W31" s="7" t="s">
        <v>518</v>
      </c>
      <c r="X31" s="15">
        <v>35</v>
      </c>
      <c r="Y31" s="14"/>
      <c r="Z31" s="14"/>
      <c r="AA31" s="14"/>
      <c r="AB31" s="14"/>
      <c r="AC31" s="7" t="s">
        <v>35</v>
      </c>
      <c r="AD31" s="7" t="s">
        <v>79</v>
      </c>
      <c r="AE31" s="7" t="s">
        <v>550</v>
      </c>
      <c r="AF31" s="7" t="s">
        <v>545</v>
      </c>
      <c r="AG31" s="7" t="s">
        <v>516</v>
      </c>
      <c r="AH31" s="7" t="s">
        <v>84</v>
      </c>
      <c r="AI31" s="8" t="s">
        <v>85</v>
      </c>
    </row>
    <row r="32" spans="1:35" ht="48.75" customHeight="1">
      <c r="A32" s="7" t="s">
        <v>566</v>
      </c>
      <c r="B32" s="7" t="s">
        <v>73</v>
      </c>
      <c r="C32" s="7" t="s">
        <v>567</v>
      </c>
      <c r="D32" s="7" t="s">
        <v>508</v>
      </c>
      <c r="E32" s="7" t="s">
        <v>542</v>
      </c>
      <c r="F32" s="7" t="s">
        <v>268</v>
      </c>
      <c r="G32" s="7"/>
      <c r="H32" s="15">
        <v>2350</v>
      </c>
      <c r="I32" s="15">
        <v>500</v>
      </c>
      <c r="J32" s="15">
        <v>120</v>
      </c>
      <c r="K32" s="14"/>
      <c r="L32" s="15">
        <v>2100</v>
      </c>
      <c r="M32" s="15">
        <v>750</v>
      </c>
      <c r="N32" s="14"/>
      <c r="O32" s="9">
        <v>49.8</v>
      </c>
      <c r="P32" s="7" t="s">
        <v>543</v>
      </c>
      <c r="Q32" s="9">
        <v>12.7</v>
      </c>
      <c r="R32" s="7"/>
      <c r="S32" s="14"/>
      <c r="T32" s="10">
        <v>1.1399999999999999</v>
      </c>
      <c r="U32" s="15">
        <v>119</v>
      </c>
      <c r="V32" s="15">
        <v>1475</v>
      </c>
      <c r="W32" s="7" t="s">
        <v>518</v>
      </c>
      <c r="X32" s="9">
        <v>42.5</v>
      </c>
      <c r="Y32" s="14"/>
      <c r="Z32" s="14"/>
      <c r="AA32" s="14"/>
      <c r="AB32" s="14"/>
      <c r="AC32" s="7" t="s">
        <v>35</v>
      </c>
      <c r="AD32" s="7" t="s">
        <v>79</v>
      </c>
      <c r="AE32" s="7" t="s">
        <v>555</v>
      </c>
      <c r="AF32" s="7" t="s">
        <v>545</v>
      </c>
      <c r="AG32" s="7" t="s">
        <v>516</v>
      </c>
      <c r="AH32" s="7" t="s">
        <v>84</v>
      </c>
      <c r="AI32" s="8" t="s">
        <v>85</v>
      </c>
    </row>
    <row r="33" spans="1:35" ht="48.75" customHeight="1">
      <c r="A33" s="7" t="s">
        <v>568</v>
      </c>
      <c r="B33" s="7" t="s">
        <v>73</v>
      </c>
      <c r="C33" s="7" t="s">
        <v>569</v>
      </c>
      <c r="D33" s="7" t="s">
        <v>508</v>
      </c>
      <c r="E33" s="7" t="s">
        <v>542</v>
      </c>
      <c r="F33" s="7" t="s">
        <v>268</v>
      </c>
      <c r="G33" s="7"/>
      <c r="H33" s="15">
        <v>2350</v>
      </c>
      <c r="I33" s="15">
        <v>500</v>
      </c>
      <c r="J33" s="15">
        <v>120</v>
      </c>
      <c r="K33" s="14"/>
      <c r="L33" s="15">
        <v>2100</v>
      </c>
      <c r="M33" s="15">
        <v>750</v>
      </c>
      <c r="N33" s="14"/>
      <c r="O33" s="9">
        <v>49.8</v>
      </c>
      <c r="P33" s="7" t="s">
        <v>543</v>
      </c>
      <c r="Q33" s="9">
        <v>12.7</v>
      </c>
      <c r="R33" s="7"/>
      <c r="S33" s="14"/>
      <c r="T33" s="10">
        <v>1.1399999999999999</v>
      </c>
      <c r="U33" s="15">
        <v>119</v>
      </c>
      <c r="V33" s="15">
        <v>1475</v>
      </c>
      <c r="W33" s="7" t="s">
        <v>518</v>
      </c>
      <c r="X33" s="15">
        <v>36</v>
      </c>
      <c r="Y33" s="14"/>
      <c r="Z33" s="14"/>
      <c r="AA33" s="14"/>
      <c r="AB33" s="14"/>
      <c r="AC33" s="7" t="s">
        <v>35</v>
      </c>
      <c r="AD33" s="7" t="s">
        <v>79</v>
      </c>
      <c r="AE33" s="7" t="s">
        <v>555</v>
      </c>
      <c r="AF33" s="7" t="s">
        <v>545</v>
      </c>
      <c r="AG33" s="7" t="s">
        <v>516</v>
      </c>
      <c r="AH33" s="7" t="s">
        <v>84</v>
      </c>
      <c r="AI33" s="8" t="s">
        <v>85</v>
      </c>
    </row>
    <row r="34" spans="1:35" ht="48.75" customHeight="1">
      <c r="A34" s="7" t="s">
        <v>570</v>
      </c>
      <c r="B34" s="7" t="s">
        <v>73</v>
      </c>
      <c r="C34" s="7" t="s">
        <v>571</v>
      </c>
      <c r="D34" s="7" t="s">
        <v>508</v>
      </c>
      <c r="E34" s="7" t="s">
        <v>542</v>
      </c>
      <c r="F34" s="7" t="s">
        <v>510</v>
      </c>
      <c r="G34" s="7"/>
      <c r="H34" s="15">
        <v>2350</v>
      </c>
      <c r="I34" s="15">
        <v>500</v>
      </c>
      <c r="J34" s="15">
        <v>120</v>
      </c>
      <c r="K34" s="14"/>
      <c r="L34" s="15">
        <v>2100</v>
      </c>
      <c r="M34" s="15">
        <v>750</v>
      </c>
      <c r="N34" s="14"/>
      <c r="O34" s="9">
        <v>50.6</v>
      </c>
      <c r="P34" s="7" t="s">
        <v>543</v>
      </c>
      <c r="Q34" s="15">
        <v>10</v>
      </c>
      <c r="R34" s="7"/>
      <c r="S34" s="14"/>
      <c r="T34" s="9">
        <v>0.7</v>
      </c>
      <c r="U34" s="14"/>
      <c r="V34" s="14"/>
      <c r="W34" s="7" t="s">
        <v>518</v>
      </c>
      <c r="X34" s="15">
        <v>25</v>
      </c>
      <c r="Y34" s="14"/>
      <c r="Z34" s="14"/>
      <c r="AA34" s="14"/>
      <c r="AB34" s="14"/>
      <c r="AC34" s="7" t="s">
        <v>35</v>
      </c>
      <c r="AD34" s="7" t="s">
        <v>79</v>
      </c>
      <c r="AE34" s="7" t="s">
        <v>572</v>
      </c>
      <c r="AF34" s="7" t="s">
        <v>545</v>
      </c>
      <c r="AG34" s="7" t="s">
        <v>516</v>
      </c>
      <c r="AH34" s="7" t="s">
        <v>84</v>
      </c>
      <c r="AI34" s="8" t="s">
        <v>85</v>
      </c>
    </row>
    <row r="35" spans="1:35" ht="48.75" customHeight="1">
      <c r="A35" s="7" t="s">
        <v>573</v>
      </c>
      <c r="B35" s="7" t="s">
        <v>73</v>
      </c>
      <c r="C35" s="7" t="s">
        <v>574</v>
      </c>
      <c r="D35" s="7" t="s">
        <v>508</v>
      </c>
      <c r="E35" s="7" t="s">
        <v>542</v>
      </c>
      <c r="F35" s="7" t="s">
        <v>510</v>
      </c>
      <c r="G35" s="7"/>
      <c r="H35" s="15">
        <v>2350</v>
      </c>
      <c r="I35" s="15">
        <v>500</v>
      </c>
      <c r="J35" s="15">
        <v>120</v>
      </c>
      <c r="K35" s="14"/>
      <c r="L35" s="15">
        <v>2100</v>
      </c>
      <c r="M35" s="15">
        <v>750</v>
      </c>
      <c r="N35" s="14"/>
      <c r="O35" s="9">
        <v>50.6</v>
      </c>
      <c r="P35" s="7" t="s">
        <v>543</v>
      </c>
      <c r="Q35" s="15">
        <v>10</v>
      </c>
      <c r="R35" s="7"/>
      <c r="S35" s="14"/>
      <c r="T35" s="9">
        <v>0.7</v>
      </c>
      <c r="U35" s="14"/>
      <c r="V35" s="14"/>
      <c r="W35" s="7" t="s">
        <v>518</v>
      </c>
      <c r="X35" s="15">
        <v>25</v>
      </c>
      <c r="Y35" s="14"/>
      <c r="Z35" s="14"/>
      <c r="AA35" s="14"/>
      <c r="AB35" s="14"/>
      <c r="AC35" s="7" t="s">
        <v>35</v>
      </c>
      <c r="AD35" s="7" t="s">
        <v>79</v>
      </c>
      <c r="AE35" s="7" t="s">
        <v>572</v>
      </c>
      <c r="AF35" s="7" t="s">
        <v>545</v>
      </c>
      <c r="AG35" s="7" t="s">
        <v>516</v>
      </c>
      <c r="AH35" s="7" t="s">
        <v>84</v>
      </c>
      <c r="AI35" s="8" t="s">
        <v>85</v>
      </c>
    </row>
    <row r="36" spans="1:35" ht="35.25" customHeight="1">
      <c r="A36" s="7" t="s">
        <v>575</v>
      </c>
      <c r="B36" s="7" t="s">
        <v>28</v>
      </c>
      <c r="C36" s="7" t="s">
        <v>576</v>
      </c>
      <c r="D36" s="7" t="s">
        <v>508</v>
      </c>
      <c r="E36" s="7" t="s">
        <v>577</v>
      </c>
      <c r="F36" s="7" t="s">
        <v>113</v>
      </c>
      <c r="G36" s="7"/>
      <c r="H36" s="15">
        <v>4000</v>
      </c>
      <c r="I36" s="15">
        <v>1000</v>
      </c>
      <c r="J36" s="15">
        <v>200</v>
      </c>
      <c r="K36" s="14"/>
      <c r="L36" s="15">
        <v>3500</v>
      </c>
      <c r="M36" s="15">
        <v>850</v>
      </c>
      <c r="N36" s="14"/>
      <c r="O36" s="9">
        <v>47.9</v>
      </c>
      <c r="P36" s="7" t="s">
        <v>511</v>
      </c>
      <c r="Q36" s="14"/>
      <c r="R36" s="7"/>
      <c r="S36" s="15">
        <v>200</v>
      </c>
      <c r="T36" s="10">
        <v>1.01</v>
      </c>
      <c r="U36" s="10">
        <v>40.880000000000003</v>
      </c>
      <c r="V36" s="14"/>
      <c r="W36" s="7" t="s">
        <v>518</v>
      </c>
      <c r="X36" s="14"/>
      <c r="Y36" s="14"/>
      <c r="Z36" s="14"/>
      <c r="AA36" s="14"/>
      <c r="AB36" s="14"/>
      <c r="AC36" s="7" t="s">
        <v>35</v>
      </c>
      <c r="AD36" s="7" t="s">
        <v>38</v>
      </c>
      <c r="AE36" s="7" t="s">
        <v>578</v>
      </c>
      <c r="AF36" s="7" t="s">
        <v>579</v>
      </c>
      <c r="AG36" s="7" t="s">
        <v>580</v>
      </c>
      <c r="AH36" s="7" t="s">
        <v>45</v>
      </c>
      <c r="AI36" s="8" t="s">
        <v>46</v>
      </c>
    </row>
    <row r="37" spans="1:35" ht="35.25" customHeight="1">
      <c r="A37" s="7" t="s">
        <v>581</v>
      </c>
      <c r="B37" s="7" t="s">
        <v>28</v>
      </c>
      <c r="C37" s="7" t="s">
        <v>582</v>
      </c>
      <c r="D37" s="7" t="s">
        <v>508</v>
      </c>
      <c r="E37" s="7" t="s">
        <v>577</v>
      </c>
      <c r="F37" s="7" t="s">
        <v>113</v>
      </c>
      <c r="G37" s="7"/>
      <c r="H37" s="15">
        <v>4000</v>
      </c>
      <c r="I37" s="15">
        <v>1000</v>
      </c>
      <c r="J37" s="15">
        <v>200</v>
      </c>
      <c r="K37" s="14"/>
      <c r="L37" s="15">
        <v>3500</v>
      </c>
      <c r="M37" s="15">
        <v>850</v>
      </c>
      <c r="N37" s="14"/>
      <c r="O37" s="9">
        <v>48.4</v>
      </c>
      <c r="P37" s="7" t="s">
        <v>511</v>
      </c>
      <c r="Q37" s="14"/>
      <c r="R37" s="7"/>
      <c r="S37" s="15">
        <v>250</v>
      </c>
      <c r="T37" s="10">
        <v>0.79</v>
      </c>
      <c r="U37" s="9">
        <v>47.6</v>
      </c>
      <c r="V37" s="14"/>
      <c r="W37" s="7" t="s">
        <v>518</v>
      </c>
      <c r="X37" s="14"/>
      <c r="Y37" s="14"/>
      <c r="Z37" s="14"/>
      <c r="AA37" s="14"/>
      <c r="AB37" s="14"/>
      <c r="AC37" s="7" t="s">
        <v>35</v>
      </c>
      <c r="AD37" s="7" t="s">
        <v>38</v>
      </c>
      <c r="AE37" s="7" t="s">
        <v>583</v>
      </c>
      <c r="AF37" s="7" t="s">
        <v>579</v>
      </c>
      <c r="AG37" s="7" t="s">
        <v>580</v>
      </c>
      <c r="AH37" s="7" t="s">
        <v>45</v>
      </c>
      <c r="AI37" s="8" t="s">
        <v>46</v>
      </c>
    </row>
    <row r="38" spans="1:35" ht="48.75" customHeight="1">
      <c r="A38" s="7" t="s">
        <v>584</v>
      </c>
      <c r="B38" s="7" t="s">
        <v>28</v>
      </c>
      <c r="C38" s="7" t="s">
        <v>585</v>
      </c>
      <c r="D38" s="7" t="s">
        <v>508</v>
      </c>
      <c r="E38" s="7" t="s">
        <v>577</v>
      </c>
      <c r="F38" s="7" t="s">
        <v>113</v>
      </c>
      <c r="G38" s="7"/>
      <c r="H38" s="15">
        <v>4000</v>
      </c>
      <c r="I38" s="15">
        <v>1000</v>
      </c>
      <c r="J38" s="15">
        <v>200</v>
      </c>
      <c r="K38" s="14"/>
      <c r="L38" s="15">
        <v>3500</v>
      </c>
      <c r="M38" s="15">
        <v>850</v>
      </c>
      <c r="N38" s="14"/>
      <c r="O38" s="9">
        <v>48.4</v>
      </c>
      <c r="P38" s="7" t="s">
        <v>511</v>
      </c>
      <c r="Q38" s="14"/>
      <c r="R38" s="7"/>
      <c r="S38" s="15">
        <v>200</v>
      </c>
      <c r="T38" s="10">
        <v>1.01</v>
      </c>
      <c r="U38" s="9">
        <v>47.6</v>
      </c>
      <c r="V38" s="14"/>
      <c r="W38" s="7" t="s">
        <v>518</v>
      </c>
      <c r="X38" s="14"/>
      <c r="Y38" s="14"/>
      <c r="Z38" s="14"/>
      <c r="AA38" s="14"/>
      <c r="AB38" s="14"/>
      <c r="AC38" s="7" t="s">
        <v>35</v>
      </c>
      <c r="AD38" s="7" t="s">
        <v>38</v>
      </c>
      <c r="AE38" s="7"/>
      <c r="AF38" s="7" t="s">
        <v>586</v>
      </c>
      <c r="AG38" s="7" t="s">
        <v>580</v>
      </c>
      <c r="AH38" s="7" t="s">
        <v>45</v>
      </c>
      <c r="AI38" s="8" t="s">
        <v>46</v>
      </c>
    </row>
    <row r="39" spans="1:35" ht="48.75" customHeight="1">
      <c r="A39" s="7" t="s">
        <v>587</v>
      </c>
      <c r="B39" s="7" t="s">
        <v>28</v>
      </c>
      <c r="C39" s="7" t="s">
        <v>588</v>
      </c>
      <c r="D39" s="7" t="s">
        <v>508</v>
      </c>
      <c r="E39" s="7" t="s">
        <v>577</v>
      </c>
      <c r="F39" s="7" t="s">
        <v>113</v>
      </c>
      <c r="G39" s="7"/>
      <c r="H39" s="15">
        <v>4000</v>
      </c>
      <c r="I39" s="15">
        <v>1000</v>
      </c>
      <c r="J39" s="15">
        <v>200</v>
      </c>
      <c r="K39" s="14"/>
      <c r="L39" s="15">
        <v>3500</v>
      </c>
      <c r="M39" s="15">
        <v>850</v>
      </c>
      <c r="N39" s="14"/>
      <c r="O39" s="9">
        <v>48.4</v>
      </c>
      <c r="P39" s="7" t="s">
        <v>511</v>
      </c>
      <c r="Q39" s="14"/>
      <c r="R39" s="7"/>
      <c r="S39" s="15">
        <v>166</v>
      </c>
      <c r="T39" s="10">
        <v>1.22</v>
      </c>
      <c r="U39" s="9">
        <v>47.6</v>
      </c>
      <c r="V39" s="14"/>
      <c r="W39" s="7" t="s">
        <v>518</v>
      </c>
      <c r="X39" s="14"/>
      <c r="Y39" s="14"/>
      <c r="Z39" s="14"/>
      <c r="AA39" s="14"/>
      <c r="AB39" s="14"/>
      <c r="AC39" s="7" t="s">
        <v>35</v>
      </c>
      <c r="AD39" s="7" t="s">
        <v>38</v>
      </c>
      <c r="AE39" s="7"/>
      <c r="AF39" s="7" t="s">
        <v>586</v>
      </c>
      <c r="AG39" s="7" t="s">
        <v>580</v>
      </c>
      <c r="AH39" s="7" t="s">
        <v>45</v>
      </c>
      <c r="AI39" s="8" t="s">
        <v>46</v>
      </c>
    </row>
    <row r="40" spans="1:35" ht="48.75" customHeight="1">
      <c r="A40" s="7" t="s">
        <v>589</v>
      </c>
      <c r="B40" s="7" t="s">
        <v>28</v>
      </c>
      <c r="C40" s="7" t="s">
        <v>590</v>
      </c>
      <c r="D40" s="7" t="s">
        <v>508</v>
      </c>
      <c r="E40" s="7" t="s">
        <v>577</v>
      </c>
      <c r="F40" s="7" t="s">
        <v>113</v>
      </c>
      <c r="G40" s="7"/>
      <c r="H40" s="15">
        <v>4000</v>
      </c>
      <c r="I40" s="15">
        <v>1000</v>
      </c>
      <c r="J40" s="15">
        <v>200</v>
      </c>
      <c r="K40" s="14"/>
      <c r="L40" s="15">
        <v>3500</v>
      </c>
      <c r="M40" s="15">
        <v>850</v>
      </c>
      <c r="N40" s="14"/>
      <c r="O40" s="9">
        <v>49.7</v>
      </c>
      <c r="P40" s="7" t="s">
        <v>511</v>
      </c>
      <c r="Q40" s="14"/>
      <c r="R40" s="7"/>
      <c r="S40" s="15">
        <v>143</v>
      </c>
      <c r="T40" s="10">
        <v>1.42</v>
      </c>
      <c r="U40" s="9">
        <v>47.6</v>
      </c>
      <c r="V40" s="14"/>
      <c r="W40" s="7" t="s">
        <v>518</v>
      </c>
      <c r="X40" s="14"/>
      <c r="Y40" s="14"/>
      <c r="Z40" s="14"/>
      <c r="AA40" s="14"/>
      <c r="AB40" s="14"/>
      <c r="AC40" s="7" t="s">
        <v>35</v>
      </c>
      <c r="AD40" s="7" t="s">
        <v>38</v>
      </c>
      <c r="AE40" s="7"/>
      <c r="AF40" s="7" t="s">
        <v>586</v>
      </c>
      <c r="AG40" s="7" t="s">
        <v>580</v>
      </c>
      <c r="AH40" s="7" t="s">
        <v>45</v>
      </c>
      <c r="AI40" s="8" t="s">
        <v>46</v>
      </c>
    </row>
    <row r="41" spans="1:35" ht="35.25" customHeight="1">
      <c r="A41" s="7" t="s">
        <v>591</v>
      </c>
      <c r="B41" s="7" t="s">
        <v>28</v>
      </c>
      <c r="C41" s="7" t="s">
        <v>592</v>
      </c>
      <c r="D41" s="7" t="s">
        <v>508</v>
      </c>
      <c r="E41" s="7" t="s">
        <v>577</v>
      </c>
      <c r="F41" s="7" t="s">
        <v>113</v>
      </c>
      <c r="G41" s="7"/>
      <c r="H41" s="15">
        <v>4000</v>
      </c>
      <c r="I41" s="15">
        <v>1000</v>
      </c>
      <c r="J41" s="15">
        <v>200</v>
      </c>
      <c r="K41" s="14"/>
      <c r="L41" s="15">
        <v>3500</v>
      </c>
      <c r="M41" s="15">
        <v>850</v>
      </c>
      <c r="N41" s="14"/>
      <c r="O41" s="9">
        <v>47.9</v>
      </c>
      <c r="P41" s="7" t="s">
        <v>511</v>
      </c>
      <c r="Q41" s="14"/>
      <c r="R41" s="7"/>
      <c r="S41" s="15">
        <v>200</v>
      </c>
      <c r="T41" s="10">
        <v>1.85</v>
      </c>
      <c r="U41" s="9">
        <v>51.9</v>
      </c>
      <c r="V41" s="14"/>
      <c r="W41" s="7" t="s">
        <v>518</v>
      </c>
      <c r="X41" s="14"/>
      <c r="Y41" s="14"/>
      <c r="Z41" s="14"/>
      <c r="AA41" s="14"/>
      <c r="AB41" s="14"/>
      <c r="AC41" s="7" t="s">
        <v>35</v>
      </c>
      <c r="AD41" s="7" t="s">
        <v>38</v>
      </c>
      <c r="AE41" s="7" t="s">
        <v>593</v>
      </c>
      <c r="AF41" s="7" t="s">
        <v>579</v>
      </c>
      <c r="AG41" s="7" t="s">
        <v>580</v>
      </c>
      <c r="AH41" s="7" t="s">
        <v>45</v>
      </c>
      <c r="AI41" s="8" t="s">
        <v>46</v>
      </c>
    </row>
    <row r="42" spans="1:35" ht="35.25" customHeight="1">
      <c r="A42" s="7" t="s">
        <v>594</v>
      </c>
      <c r="B42" s="7" t="s">
        <v>28</v>
      </c>
      <c r="C42" s="7" t="s">
        <v>595</v>
      </c>
      <c r="D42" s="7" t="s">
        <v>508</v>
      </c>
      <c r="E42" s="7" t="s">
        <v>577</v>
      </c>
      <c r="F42" s="7" t="s">
        <v>113</v>
      </c>
      <c r="G42" s="7"/>
      <c r="H42" s="15">
        <v>4000</v>
      </c>
      <c r="I42" s="15">
        <v>1000</v>
      </c>
      <c r="J42" s="15">
        <v>200</v>
      </c>
      <c r="K42" s="14"/>
      <c r="L42" s="15">
        <v>3500</v>
      </c>
      <c r="M42" s="15">
        <v>850</v>
      </c>
      <c r="N42" s="14"/>
      <c r="O42" s="9">
        <v>42.9</v>
      </c>
      <c r="P42" s="7" t="s">
        <v>511</v>
      </c>
      <c r="Q42" s="14"/>
      <c r="R42" s="7"/>
      <c r="S42" s="15">
        <v>200</v>
      </c>
      <c r="T42" s="10">
        <v>1.01</v>
      </c>
      <c r="U42" s="9">
        <v>69.5</v>
      </c>
      <c r="V42" s="14"/>
      <c r="W42" s="7" t="s">
        <v>518</v>
      </c>
      <c r="X42" s="14"/>
      <c r="Y42" s="14"/>
      <c r="Z42" s="14"/>
      <c r="AA42" s="14"/>
      <c r="AB42" s="14"/>
      <c r="AC42" s="7" t="s">
        <v>35</v>
      </c>
      <c r="AD42" s="7" t="s">
        <v>38</v>
      </c>
      <c r="AE42" s="7" t="s">
        <v>578</v>
      </c>
      <c r="AF42" s="7" t="s">
        <v>579</v>
      </c>
      <c r="AG42" s="7" t="s">
        <v>580</v>
      </c>
      <c r="AH42" s="7" t="s">
        <v>45</v>
      </c>
      <c r="AI42" s="8" t="s">
        <v>46</v>
      </c>
    </row>
    <row r="43" spans="1:35" ht="35.25" customHeight="1">
      <c r="A43" s="7" t="s">
        <v>596</v>
      </c>
      <c r="B43" s="7" t="s">
        <v>28</v>
      </c>
      <c r="C43" s="7" t="s">
        <v>597</v>
      </c>
      <c r="D43" s="7" t="s">
        <v>508</v>
      </c>
      <c r="E43" s="7" t="s">
        <v>577</v>
      </c>
      <c r="F43" s="7" t="s">
        <v>113</v>
      </c>
      <c r="G43" s="7"/>
      <c r="H43" s="15">
        <v>4000</v>
      </c>
      <c r="I43" s="15">
        <v>1000</v>
      </c>
      <c r="J43" s="15">
        <v>200</v>
      </c>
      <c r="K43" s="14"/>
      <c r="L43" s="15">
        <v>3500</v>
      </c>
      <c r="M43" s="15">
        <v>850</v>
      </c>
      <c r="N43" s="14"/>
      <c r="O43" s="9">
        <v>49.4</v>
      </c>
      <c r="P43" s="7" t="s">
        <v>511</v>
      </c>
      <c r="Q43" s="14"/>
      <c r="R43" s="7"/>
      <c r="S43" s="15">
        <v>150</v>
      </c>
      <c r="T43" s="10">
        <v>1.21</v>
      </c>
      <c r="U43" s="9">
        <v>69.5</v>
      </c>
      <c r="V43" s="14"/>
      <c r="W43" s="7" t="s">
        <v>518</v>
      </c>
      <c r="X43" s="14"/>
      <c r="Y43" s="14"/>
      <c r="Z43" s="14"/>
      <c r="AA43" s="14"/>
      <c r="AB43" s="14"/>
      <c r="AC43" s="7" t="s">
        <v>35</v>
      </c>
      <c r="AD43" s="7" t="s">
        <v>38</v>
      </c>
      <c r="AE43" s="7" t="s">
        <v>578</v>
      </c>
      <c r="AF43" s="7" t="s">
        <v>579</v>
      </c>
      <c r="AG43" s="7" t="s">
        <v>580</v>
      </c>
      <c r="AH43" s="7" t="s">
        <v>45</v>
      </c>
      <c r="AI43" s="8" t="s">
        <v>46</v>
      </c>
    </row>
    <row r="44" spans="1:35" ht="48.75" customHeight="1">
      <c r="A44" s="7" t="s">
        <v>598</v>
      </c>
      <c r="B44" s="7" t="s">
        <v>28</v>
      </c>
      <c r="C44" s="7" t="s">
        <v>599</v>
      </c>
      <c r="D44" s="7" t="s">
        <v>508</v>
      </c>
      <c r="E44" s="7" t="s">
        <v>577</v>
      </c>
      <c r="F44" s="7" t="s">
        <v>113</v>
      </c>
      <c r="G44" s="7"/>
      <c r="H44" s="15">
        <v>4000</v>
      </c>
      <c r="I44" s="15">
        <v>1000</v>
      </c>
      <c r="J44" s="15">
        <v>200</v>
      </c>
      <c r="K44" s="14"/>
      <c r="L44" s="15">
        <v>3500</v>
      </c>
      <c r="M44" s="15">
        <v>850</v>
      </c>
      <c r="N44" s="14"/>
      <c r="O44" s="9">
        <v>48.6</v>
      </c>
      <c r="P44" s="7" t="s">
        <v>511</v>
      </c>
      <c r="Q44" s="14"/>
      <c r="R44" s="7"/>
      <c r="S44" s="15">
        <v>150</v>
      </c>
      <c r="T44" s="10">
        <v>2.4300000000000002</v>
      </c>
      <c r="U44" s="9">
        <v>69.5</v>
      </c>
      <c r="V44" s="14"/>
      <c r="W44" s="7" t="s">
        <v>518</v>
      </c>
      <c r="X44" s="14"/>
      <c r="Y44" s="14"/>
      <c r="Z44" s="14"/>
      <c r="AA44" s="14"/>
      <c r="AB44" s="14"/>
      <c r="AC44" s="7" t="s">
        <v>35</v>
      </c>
      <c r="AD44" s="7" t="s">
        <v>38</v>
      </c>
      <c r="AE44" s="7" t="s">
        <v>600</v>
      </c>
      <c r="AF44" s="7" t="s">
        <v>601</v>
      </c>
      <c r="AG44" s="7" t="s">
        <v>580</v>
      </c>
      <c r="AH44" s="7" t="s">
        <v>45</v>
      </c>
      <c r="AI44" s="8" t="s">
        <v>46</v>
      </c>
    </row>
    <row r="45" spans="1:35" ht="35.25" customHeight="1">
      <c r="A45" s="7" t="s">
        <v>602</v>
      </c>
      <c r="B45" s="7" t="s">
        <v>28</v>
      </c>
      <c r="C45" s="7" t="s">
        <v>603</v>
      </c>
      <c r="D45" s="7" t="s">
        <v>508</v>
      </c>
      <c r="E45" s="7" t="s">
        <v>577</v>
      </c>
      <c r="F45" s="7" t="s">
        <v>113</v>
      </c>
      <c r="G45" s="7"/>
      <c r="H45" s="15">
        <v>4000</v>
      </c>
      <c r="I45" s="15">
        <v>1000</v>
      </c>
      <c r="J45" s="15">
        <v>200</v>
      </c>
      <c r="K45" s="14"/>
      <c r="L45" s="15">
        <v>3500</v>
      </c>
      <c r="M45" s="15">
        <v>850</v>
      </c>
      <c r="N45" s="14"/>
      <c r="O45" s="9">
        <v>50.3</v>
      </c>
      <c r="P45" s="7" t="s">
        <v>511</v>
      </c>
      <c r="Q45" s="14"/>
      <c r="R45" s="7"/>
      <c r="S45" s="15">
        <v>150</v>
      </c>
      <c r="T45" s="10">
        <v>2.5499999999999998</v>
      </c>
      <c r="U45" s="9">
        <v>69.5</v>
      </c>
      <c r="V45" s="14"/>
      <c r="W45" s="7" t="s">
        <v>518</v>
      </c>
      <c r="X45" s="14"/>
      <c r="Y45" s="14"/>
      <c r="Z45" s="14"/>
      <c r="AA45" s="14"/>
      <c r="AB45" s="14"/>
      <c r="AC45" s="7" t="s">
        <v>35</v>
      </c>
      <c r="AD45" s="7" t="s">
        <v>38</v>
      </c>
      <c r="AE45" s="7" t="s">
        <v>600</v>
      </c>
      <c r="AF45" s="7" t="s">
        <v>579</v>
      </c>
      <c r="AG45" s="7" t="s">
        <v>580</v>
      </c>
      <c r="AH45" s="7" t="s">
        <v>45</v>
      </c>
      <c r="AI45" s="8" t="s">
        <v>46</v>
      </c>
    </row>
    <row r="46" spans="1:35" ht="35.25" customHeight="1">
      <c r="A46" s="7" t="s">
        <v>604</v>
      </c>
      <c r="B46" s="7" t="s">
        <v>28</v>
      </c>
      <c r="C46" s="7" t="s">
        <v>605</v>
      </c>
      <c r="D46" s="7" t="s">
        <v>508</v>
      </c>
      <c r="E46" s="7" t="s">
        <v>577</v>
      </c>
      <c r="F46" s="7" t="s">
        <v>113</v>
      </c>
      <c r="G46" s="7"/>
      <c r="H46" s="15">
        <v>4000</v>
      </c>
      <c r="I46" s="15">
        <v>1000</v>
      </c>
      <c r="J46" s="15">
        <v>200</v>
      </c>
      <c r="K46" s="14"/>
      <c r="L46" s="15">
        <v>3500</v>
      </c>
      <c r="M46" s="15">
        <v>850</v>
      </c>
      <c r="N46" s="14"/>
      <c r="O46" s="9">
        <v>77.400000000000006</v>
      </c>
      <c r="P46" s="7" t="s">
        <v>511</v>
      </c>
      <c r="Q46" s="14"/>
      <c r="R46" s="7"/>
      <c r="S46" s="15">
        <v>200</v>
      </c>
      <c r="T46" s="10">
        <v>1.01</v>
      </c>
      <c r="U46" s="9">
        <v>69.5</v>
      </c>
      <c r="V46" s="14"/>
      <c r="W46" s="7" t="s">
        <v>518</v>
      </c>
      <c r="X46" s="14"/>
      <c r="Y46" s="14"/>
      <c r="Z46" s="14"/>
      <c r="AA46" s="14"/>
      <c r="AB46" s="14"/>
      <c r="AC46" s="7" t="s">
        <v>35</v>
      </c>
      <c r="AD46" s="7" t="s">
        <v>38</v>
      </c>
      <c r="AE46" s="7" t="s">
        <v>606</v>
      </c>
      <c r="AF46" s="7" t="s">
        <v>579</v>
      </c>
      <c r="AG46" s="7" t="s">
        <v>580</v>
      </c>
      <c r="AH46" s="7" t="s">
        <v>45</v>
      </c>
      <c r="AI46" s="8" t="s">
        <v>46</v>
      </c>
    </row>
    <row r="47" spans="1:35" ht="35.25" customHeight="1">
      <c r="A47" s="7" t="s">
        <v>607</v>
      </c>
      <c r="B47" s="7" t="s">
        <v>28</v>
      </c>
      <c r="C47" s="7" t="s">
        <v>608</v>
      </c>
      <c r="D47" s="7" t="s">
        <v>508</v>
      </c>
      <c r="E47" s="7" t="s">
        <v>577</v>
      </c>
      <c r="F47" s="7" t="s">
        <v>113</v>
      </c>
      <c r="G47" s="7"/>
      <c r="H47" s="15">
        <v>4000</v>
      </c>
      <c r="I47" s="15">
        <v>1000</v>
      </c>
      <c r="J47" s="15">
        <v>200</v>
      </c>
      <c r="K47" s="14"/>
      <c r="L47" s="15">
        <v>3500</v>
      </c>
      <c r="M47" s="15">
        <v>850</v>
      </c>
      <c r="N47" s="14"/>
      <c r="O47" s="9">
        <v>82.6</v>
      </c>
      <c r="P47" s="7" t="s">
        <v>511</v>
      </c>
      <c r="Q47" s="14"/>
      <c r="R47" s="7"/>
      <c r="S47" s="15">
        <v>200</v>
      </c>
      <c r="T47" s="10">
        <v>1.03</v>
      </c>
      <c r="U47" s="9">
        <v>69.5</v>
      </c>
      <c r="V47" s="14"/>
      <c r="W47" s="7" t="s">
        <v>518</v>
      </c>
      <c r="X47" s="14"/>
      <c r="Y47" s="14"/>
      <c r="Z47" s="14"/>
      <c r="AA47" s="14"/>
      <c r="AB47" s="14"/>
      <c r="AC47" s="7" t="s">
        <v>35</v>
      </c>
      <c r="AD47" s="7" t="s">
        <v>38</v>
      </c>
      <c r="AE47" s="7" t="s">
        <v>606</v>
      </c>
      <c r="AF47" s="7" t="s">
        <v>579</v>
      </c>
      <c r="AG47" s="7" t="s">
        <v>580</v>
      </c>
      <c r="AH47" s="7" t="s">
        <v>45</v>
      </c>
      <c r="AI47" s="8" t="s">
        <v>46</v>
      </c>
    </row>
    <row r="48" spans="1:35" ht="35.25" customHeight="1">
      <c r="A48" s="7" t="s">
        <v>609</v>
      </c>
      <c r="B48" s="7" t="s">
        <v>28</v>
      </c>
      <c r="C48" s="7" t="s">
        <v>610</v>
      </c>
      <c r="D48" s="7" t="s">
        <v>508</v>
      </c>
      <c r="E48" s="7" t="s">
        <v>577</v>
      </c>
      <c r="F48" s="7" t="s">
        <v>268</v>
      </c>
      <c r="G48" s="7"/>
      <c r="H48" s="15">
        <v>4000</v>
      </c>
      <c r="I48" s="15">
        <v>1000</v>
      </c>
      <c r="J48" s="15">
        <v>200</v>
      </c>
      <c r="K48" s="14"/>
      <c r="L48" s="15">
        <v>3500</v>
      </c>
      <c r="M48" s="15">
        <v>850</v>
      </c>
      <c r="N48" s="14"/>
      <c r="O48" s="9">
        <v>49.7</v>
      </c>
      <c r="P48" s="7" t="s">
        <v>511</v>
      </c>
      <c r="Q48" s="14"/>
      <c r="R48" s="7"/>
      <c r="S48" s="15">
        <v>200</v>
      </c>
      <c r="T48" s="10">
        <v>0.45</v>
      </c>
      <c r="U48" s="15">
        <v>144</v>
      </c>
      <c r="V48" s="14"/>
      <c r="W48" s="7" t="s">
        <v>518</v>
      </c>
      <c r="X48" s="14"/>
      <c r="Y48" s="14"/>
      <c r="Z48" s="14"/>
      <c r="AA48" s="14"/>
      <c r="AB48" s="14"/>
      <c r="AC48" s="7" t="s">
        <v>35</v>
      </c>
      <c r="AD48" s="7" t="s">
        <v>38</v>
      </c>
      <c r="AE48" s="7" t="s">
        <v>578</v>
      </c>
      <c r="AF48" s="7" t="s">
        <v>579</v>
      </c>
      <c r="AG48" s="7" t="s">
        <v>580</v>
      </c>
      <c r="AH48" s="7" t="s">
        <v>45</v>
      </c>
      <c r="AI48" s="8" t="s">
        <v>46</v>
      </c>
    </row>
    <row r="49" spans="1:35" ht="35.25" customHeight="1">
      <c r="A49" s="7" t="s">
        <v>611</v>
      </c>
      <c r="B49" s="7" t="s">
        <v>28</v>
      </c>
      <c r="C49" s="7" t="s">
        <v>612</v>
      </c>
      <c r="D49" s="7" t="s">
        <v>508</v>
      </c>
      <c r="E49" s="7" t="s">
        <v>577</v>
      </c>
      <c r="F49" s="7" t="s">
        <v>268</v>
      </c>
      <c r="G49" s="7"/>
      <c r="H49" s="15">
        <v>4000</v>
      </c>
      <c r="I49" s="15">
        <v>1000</v>
      </c>
      <c r="J49" s="15">
        <v>200</v>
      </c>
      <c r="K49" s="14"/>
      <c r="L49" s="15">
        <v>3500</v>
      </c>
      <c r="M49" s="15">
        <v>850</v>
      </c>
      <c r="N49" s="14"/>
      <c r="O49" s="9">
        <v>49.6</v>
      </c>
      <c r="P49" s="7" t="s">
        <v>511</v>
      </c>
      <c r="Q49" s="14"/>
      <c r="R49" s="7"/>
      <c r="S49" s="15">
        <v>166</v>
      </c>
      <c r="T49" s="10">
        <v>0.54</v>
      </c>
      <c r="U49" s="15">
        <v>144</v>
      </c>
      <c r="V49" s="14"/>
      <c r="W49" s="7" t="s">
        <v>518</v>
      </c>
      <c r="X49" s="14"/>
      <c r="Y49" s="14"/>
      <c r="Z49" s="14"/>
      <c r="AA49" s="14"/>
      <c r="AB49" s="14"/>
      <c r="AC49" s="7" t="s">
        <v>35</v>
      </c>
      <c r="AD49" s="7" t="s">
        <v>38</v>
      </c>
      <c r="AE49" s="7" t="s">
        <v>583</v>
      </c>
      <c r="AF49" s="7" t="s">
        <v>579</v>
      </c>
      <c r="AG49" s="7" t="s">
        <v>580</v>
      </c>
      <c r="AH49" s="7" t="s">
        <v>45</v>
      </c>
      <c r="AI49" s="8" t="s">
        <v>46</v>
      </c>
    </row>
    <row r="50" spans="1:35" ht="35.25" customHeight="1">
      <c r="A50" s="7" t="s">
        <v>613</v>
      </c>
      <c r="B50" s="7" t="s">
        <v>28</v>
      </c>
      <c r="C50" s="7" t="s">
        <v>614</v>
      </c>
      <c r="D50" s="7" t="s">
        <v>508</v>
      </c>
      <c r="E50" s="7" t="s">
        <v>577</v>
      </c>
      <c r="F50" s="7" t="s">
        <v>268</v>
      </c>
      <c r="G50" s="7"/>
      <c r="H50" s="15">
        <v>4000</v>
      </c>
      <c r="I50" s="15">
        <v>1000</v>
      </c>
      <c r="J50" s="15">
        <v>200</v>
      </c>
      <c r="K50" s="14"/>
      <c r="L50" s="15">
        <v>3500</v>
      </c>
      <c r="M50" s="15">
        <v>850</v>
      </c>
      <c r="N50" s="14"/>
      <c r="O50" s="15">
        <v>52</v>
      </c>
      <c r="P50" s="7" t="s">
        <v>511</v>
      </c>
      <c r="Q50" s="14"/>
      <c r="R50" s="7"/>
      <c r="S50" s="15">
        <v>150</v>
      </c>
      <c r="T50" s="10">
        <v>0.63</v>
      </c>
      <c r="U50" s="15">
        <v>144</v>
      </c>
      <c r="V50" s="14"/>
      <c r="W50" s="7" t="s">
        <v>518</v>
      </c>
      <c r="X50" s="14"/>
      <c r="Y50" s="14"/>
      <c r="Z50" s="14"/>
      <c r="AA50" s="14"/>
      <c r="AB50" s="14"/>
      <c r="AC50" s="7" t="s">
        <v>35</v>
      </c>
      <c r="AD50" s="7" t="s">
        <v>38</v>
      </c>
      <c r="AE50" s="7" t="s">
        <v>606</v>
      </c>
      <c r="AF50" s="7" t="s">
        <v>579</v>
      </c>
      <c r="AG50" s="7" t="s">
        <v>580</v>
      </c>
      <c r="AH50" s="7" t="s">
        <v>45</v>
      </c>
      <c r="AI50" s="8" t="s">
        <v>46</v>
      </c>
    </row>
    <row r="51" spans="1:35" ht="35.25" customHeight="1">
      <c r="A51" s="7" t="s">
        <v>615</v>
      </c>
      <c r="B51" s="7" t="s">
        <v>28</v>
      </c>
      <c r="C51" s="7" t="s">
        <v>616</v>
      </c>
      <c r="D51" s="7" t="s">
        <v>508</v>
      </c>
      <c r="E51" s="7" t="s">
        <v>577</v>
      </c>
      <c r="F51" s="7" t="s">
        <v>268</v>
      </c>
      <c r="G51" s="7"/>
      <c r="H51" s="15">
        <v>4000</v>
      </c>
      <c r="I51" s="15">
        <v>1000</v>
      </c>
      <c r="J51" s="15">
        <v>200</v>
      </c>
      <c r="K51" s="14"/>
      <c r="L51" s="15">
        <v>3500</v>
      </c>
      <c r="M51" s="15">
        <v>850</v>
      </c>
      <c r="N51" s="14"/>
      <c r="O51" s="9">
        <v>44.8</v>
      </c>
      <c r="P51" s="7" t="s">
        <v>511</v>
      </c>
      <c r="Q51" s="14"/>
      <c r="R51" s="7"/>
      <c r="S51" s="15">
        <v>140</v>
      </c>
      <c r="T51" s="10">
        <v>0.72</v>
      </c>
      <c r="U51" s="15">
        <v>144</v>
      </c>
      <c r="V51" s="14"/>
      <c r="W51" s="7" t="s">
        <v>518</v>
      </c>
      <c r="X51" s="14"/>
      <c r="Y51" s="14"/>
      <c r="Z51" s="14"/>
      <c r="AA51" s="14"/>
      <c r="AB51" s="14"/>
      <c r="AC51" s="7" t="s">
        <v>35</v>
      </c>
      <c r="AD51" s="7" t="s">
        <v>38</v>
      </c>
      <c r="AE51" s="7" t="s">
        <v>617</v>
      </c>
      <c r="AF51" s="7" t="s">
        <v>579</v>
      </c>
      <c r="AG51" s="7" t="s">
        <v>580</v>
      </c>
      <c r="AH51" s="7" t="s">
        <v>45</v>
      </c>
      <c r="AI51" s="8" t="s">
        <v>46</v>
      </c>
    </row>
    <row r="52" spans="1:35" ht="35.25" customHeight="1">
      <c r="A52" s="7" t="s">
        <v>618</v>
      </c>
      <c r="B52" s="7" t="s">
        <v>28</v>
      </c>
      <c r="C52" s="7" t="s">
        <v>619</v>
      </c>
      <c r="D52" s="7" t="s">
        <v>508</v>
      </c>
      <c r="E52" s="7" t="s">
        <v>577</v>
      </c>
      <c r="F52" s="7" t="s">
        <v>268</v>
      </c>
      <c r="G52" s="7"/>
      <c r="H52" s="15">
        <v>4000</v>
      </c>
      <c r="I52" s="15">
        <v>1000</v>
      </c>
      <c r="J52" s="15">
        <v>200</v>
      </c>
      <c r="K52" s="14"/>
      <c r="L52" s="15">
        <v>3500</v>
      </c>
      <c r="M52" s="15">
        <v>850</v>
      </c>
      <c r="N52" s="14"/>
      <c r="O52" s="9">
        <v>45.6</v>
      </c>
      <c r="P52" s="7" t="s">
        <v>511</v>
      </c>
      <c r="Q52" s="14"/>
      <c r="R52" s="7"/>
      <c r="S52" s="15">
        <v>166</v>
      </c>
      <c r="T52" s="10">
        <v>0.84</v>
      </c>
      <c r="U52" s="15">
        <v>140</v>
      </c>
      <c r="V52" s="14"/>
      <c r="W52" s="7" t="s">
        <v>518</v>
      </c>
      <c r="X52" s="14"/>
      <c r="Y52" s="14"/>
      <c r="Z52" s="14"/>
      <c r="AA52" s="14"/>
      <c r="AB52" s="14"/>
      <c r="AC52" s="7" t="s">
        <v>35</v>
      </c>
      <c r="AD52" s="7" t="s">
        <v>38</v>
      </c>
      <c r="AE52" s="7" t="s">
        <v>617</v>
      </c>
      <c r="AF52" s="7" t="s">
        <v>579</v>
      </c>
      <c r="AG52" s="7" t="s">
        <v>580</v>
      </c>
      <c r="AH52" s="7" t="s">
        <v>45</v>
      </c>
      <c r="AI52" s="8" t="s">
        <v>46</v>
      </c>
    </row>
    <row r="53" spans="1:35" ht="35.25" customHeight="1">
      <c r="A53" s="7" t="s">
        <v>620</v>
      </c>
      <c r="B53" s="7" t="s">
        <v>28</v>
      </c>
      <c r="C53" s="7" t="s">
        <v>621</v>
      </c>
      <c r="D53" s="7" t="s">
        <v>508</v>
      </c>
      <c r="E53" s="7" t="s">
        <v>577</v>
      </c>
      <c r="F53" s="7" t="s">
        <v>268</v>
      </c>
      <c r="G53" s="7"/>
      <c r="H53" s="15">
        <v>4000</v>
      </c>
      <c r="I53" s="15">
        <v>1000</v>
      </c>
      <c r="J53" s="15">
        <v>200</v>
      </c>
      <c r="K53" s="14"/>
      <c r="L53" s="15">
        <v>3500</v>
      </c>
      <c r="M53" s="15">
        <v>850</v>
      </c>
      <c r="N53" s="14"/>
      <c r="O53" s="9">
        <v>48.6</v>
      </c>
      <c r="P53" s="7" t="s">
        <v>511</v>
      </c>
      <c r="Q53" s="14"/>
      <c r="R53" s="7"/>
      <c r="S53" s="15">
        <v>150</v>
      </c>
      <c r="T53" s="10">
        <v>0.98</v>
      </c>
      <c r="U53" s="15">
        <v>140</v>
      </c>
      <c r="V53" s="14"/>
      <c r="W53" s="7" t="s">
        <v>518</v>
      </c>
      <c r="X53" s="14"/>
      <c r="Y53" s="14"/>
      <c r="Z53" s="14"/>
      <c r="AA53" s="14"/>
      <c r="AB53" s="14"/>
      <c r="AC53" s="7" t="s">
        <v>35</v>
      </c>
      <c r="AD53" s="7" t="s">
        <v>38</v>
      </c>
      <c r="AE53" s="7" t="s">
        <v>617</v>
      </c>
      <c r="AF53" s="7" t="s">
        <v>579</v>
      </c>
      <c r="AG53" s="7" t="s">
        <v>580</v>
      </c>
      <c r="AH53" s="7" t="s">
        <v>45</v>
      </c>
      <c r="AI53" s="8" t="s">
        <v>46</v>
      </c>
    </row>
    <row r="54" spans="1:35" ht="35.25" customHeight="1">
      <c r="A54" s="7" t="s">
        <v>622</v>
      </c>
      <c r="B54" s="7" t="s">
        <v>28</v>
      </c>
      <c r="C54" s="7" t="s">
        <v>623</v>
      </c>
      <c r="D54" s="7" t="s">
        <v>508</v>
      </c>
      <c r="E54" s="7" t="s">
        <v>577</v>
      </c>
      <c r="F54" s="7" t="s">
        <v>268</v>
      </c>
      <c r="G54" s="7"/>
      <c r="H54" s="15">
        <v>4000</v>
      </c>
      <c r="I54" s="15">
        <v>1000</v>
      </c>
      <c r="J54" s="15">
        <v>200</v>
      </c>
      <c r="K54" s="14"/>
      <c r="L54" s="15">
        <v>3500</v>
      </c>
      <c r="M54" s="15">
        <v>850</v>
      </c>
      <c r="N54" s="14"/>
      <c r="O54" s="9">
        <v>41.3</v>
      </c>
      <c r="P54" s="7" t="s">
        <v>511</v>
      </c>
      <c r="Q54" s="14"/>
      <c r="R54" s="7"/>
      <c r="S54" s="15">
        <v>140</v>
      </c>
      <c r="T54" s="10">
        <v>1.1100000000000001</v>
      </c>
      <c r="U54" s="15">
        <v>140</v>
      </c>
      <c r="V54" s="14"/>
      <c r="W54" s="7" t="s">
        <v>518</v>
      </c>
      <c r="X54" s="14"/>
      <c r="Y54" s="14"/>
      <c r="Z54" s="14"/>
      <c r="AA54" s="14"/>
      <c r="AB54" s="14"/>
      <c r="AC54" s="7" t="s">
        <v>35</v>
      </c>
      <c r="AD54" s="7" t="s">
        <v>38</v>
      </c>
      <c r="AE54" s="7" t="s">
        <v>583</v>
      </c>
      <c r="AF54" s="7" t="s">
        <v>579</v>
      </c>
      <c r="AG54" s="7" t="s">
        <v>580</v>
      </c>
      <c r="AH54" s="7" t="s">
        <v>45</v>
      </c>
      <c r="AI54" s="8" t="s">
        <v>46</v>
      </c>
    </row>
    <row r="55" spans="1:35" ht="48.75" customHeight="1">
      <c r="A55" s="7" t="s">
        <v>624</v>
      </c>
      <c r="B55" s="7" t="s">
        <v>28</v>
      </c>
      <c r="C55" s="7" t="s">
        <v>625</v>
      </c>
      <c r="D55" s="7" t="s">
        <v>508</v>
      </c>
      <c r="E55" s="7" t="s">
        <v>577</v>
      </c>
      <c r="F55" s="7" t="s">
        <v>268</v>
      </c>
      <c r="G55" s="7"/>
      <c r="H55" s="15">
        <v>4000</v>
      </c>
      <c r="I55" s="15">
        <v>1000</v>
      </c>
      <c r="J55" s="15">
        <v>200</v>
      </c>
      <c r="K55" s="14"/>
      <c r="L55" s="15">
        <v>3500</v>
      </c>
      <c r="M55" s="15">
        <v>850</v>
      </c>
      <c r="N55" s="14"/>
      <c r="O55" s="9">
        <v>76.2</v>
      </c>
      <c r="P55" s="7" t="s">
        <v>511</v>
      </c>
      <c r="Q55" s="14"/>
      <c r="R55" s="7"/>
      <c r="S55" s="15">
        <v>150</v>
      </c>
      <c r="T55" s="10">
        <v>0.63</v>
      </c>
      <c r="U55" s="15">
        <v>144</v>
      </c>
      <c r="V55" s="14"/>
      <c r="W55" s="7" t="s">
        <v>518</v>
      </c>
      <c r="X55" s="14"/>
      <c r="Y55" s="14"/>
      <c r="Z55" s="14"/>
      <c r="AA55" s="14"/>
      <c r="AB55" s="14"/>
      <c r="AC55" s="7" t="s">
        <v>35</v>
      </c>
      <c r="AD55" s="7" t="s">
        <v>38</v>
      </c>
      <c r="AE55" s="7" t="s">
        <v>583</v>
      </c>
      <c r="AF55" s="7" t="s">
        <v>626</v>
      </c>
      <c r="AG55" s="7" t="s">
        <v>580</v>
      </c>
      <c r="AH55" s="7" t="s">
        <v>45</v>
      </c>
      <c r="AI55" s="8" t="s">
        <v>46</v>
      </c>
    </row>
    <row r="56" spans="1:35" ht="35.25" customHeight="1">
      <c r="A56" s="7" t="s">
        <v>627</v>
      </c>
      <c r="B56" s="7" t="s">
        <v>28</v>
      </c>
      <c r="C56" s="7" t="s">
        <v>628</v>
      </c>
      <c r="D56" s="7" t="s">
        <v>508</v>
      </c>
      <c r="E56" s="7" t="s">
        <v>577</v>
      </c>
      <c r="F56" s="7" t="s">
        <v>268</v>
      </c>
      <c r="G56" s="7"/>
      <c r="H56" s="15">
        <v>4000</v>
      </c>
      <c r="I56" s="15">
        <v>1000</v>
      </c>
      <c r="J56" s="15">
        <v>200</v>
      </c>
      <c r="K56" s="14"/>
      <c r="L56" s="15">
        <v>3500</v>
      </c>
      <c r="M56" s="15">
        <v>850</v>
      </c>
      <c r="N56" s="14"/>
      <c r="O56" s="9">
        <v>86.2</v>
      </c>
      <c r="P56" s="7" t="s">
        <v>511</v>
      </c>
      <c r="Q56" s="14"/>
      <c r="R56" s="7"/>
      <c r="S56" s="15">
        <v>150</v>
      </c>
      <c r="T56" s="10">
        <v>0.63</v>
      </c>
      <c r="U56" s="15">
        <v>144</v>
      </c>
      <c r="V56" s="14"/>
      <c r="W56" s="7" t="s">
        <v>518</v>
      </c>
      <c r="X56" s="14"/>
      <c r="Y56" s="14"/>
      <c r="Z56" s="14"/>
      <c r="AA56" s="14"/>
      <c r="AB56" s="14"/>
      <c r="AC56" s="7" t="s">
        <v>35</v>
      </c>
      <c r="AD56" s="7" t="s">
        <v>38</v>
      </c>
      <c r="AE56" s="7" t="s">
        <v>583</v>
      </c>
      <c r="AF56" s="7" t="s">
        <v>579</v>
      </c>
      <c r="AG56" s="7" t="s">
        <v>580</v>
      </c>
      <c r="AH56" s="7" t="s">
        <v>45</v>
      </c>
      <c r="AI56" s="8" t="s">
        <v>46</v>
      </c>
    </row>
    <row r="57" spans="1:35" ht="35.25" customHeight="1">
      <c r="A57" s="7" t="s">
        <v>629</v>
      </c>
      <c r="B57" s="7" t="s">
        <v>28</v>
      </c>
      <c r="C57" s="7" t="s">
        <v>630</v>
      </c>
      <c r="D57" s="7" t="s">
        <v>508</v>
      </c>
      <c r="E57" s="7" t="s">
        <v>577</v>
      </c>
      <c r="F57" s="7" t="s">
        <v>510</v>
      </c>
      <c r="G57" s="7"/>
      <c r="H57" s="15">
        <v>4000</v>
      </c>
      <c r="I57" s="15">
        <v>1000</v>
      </c>
      <c r="J57" s="15">
        <v>200</v>
      </c>
      <c r="K57" s="14"/>
      <c r="L57" s="15">
        <v>3500</v>
      </c>
      <c r="M57" s="15">
        <v>850</v>
      </c>
      <c r="N57" s="14"/>
      <c r="O57" s="9">
        <v>47.9</v>
      </c>
      <c r="P57" s="7" t="s">
        <v>511</v>
      </c>
      <c r="Q57" s="14"/>
      <c r="R57" s="7"/>
      <c r="S57" s="15">
        <v>200</v>
      </c>
      <c r="T57" s="15">
        <v>1</v>
      </c>
      <c r="U57" s="15">
        <v>200</v>
      </c>
      <c r="V57" s="14"/>
      <c r="W57" s="7" t="s">
        <v>518</v>
      </c>
      <c r="X57" s="14"/>
      <c r="Y57" s="14"/>
      <c r="Z57" s="14"/>
      <c r="AA57" s="14"/>
      <c r="AB57" s="14"/>
      <c r="AC57" s="7" t="s">
        <v>35</v>
      </c>
      <c r="AD57" s="7" t="s">
        <v>38</v>
      </c>
      <c r="AE57" s="7" t="s">
        <v>631</v>
      </c>
      <c r="AF57" s="7" t="s">
        <v>579</v>
      </c>
      <c r="AG57" s="7" t="s">
        <v>580</v>
      </c>
      <c r="AH57" s="7" t="s">
        <v>45</v>
      </c>
      <c r="AI57" s="8" t="s">
        <v>46</v>
      </c>
    </row>
    <row r="58" spans="1:35" ht="62.45" customHeight="1">
      <c r="A58" s="7" t="s">
        <v>632</v>
      </c>
      <c r="B58" s="7" t="s">
        <v>278</v>
      </c>
      <c r="C58" s="7" t="s">
        <v>633</v>
      </c>
      <c r="D58" s="7" t="s">
        <v>508</v>
      </c>
      <c r="E58" s="7" t="s">
        <v>634</v>
      </c>
      <c r="F58" s="7" t="s">
        <v>510</v>
      </c>
      <c r="G58" s="7"/>
      <c r="H58" s="15">
        <v>3500</v>
      </c>
      <c r="I58" s="15">
        <v>1000</v>
      </c>
      <c r="J58" s="15">
        <v>150</v>
      </c>
      <c r="K58" s="14"/>
      <c r="L58" s="15">
        <v>3000</v>
      </c>
      <c r="M58" s="14"/>
      <c r="N58" s="14"/>
      <c r="O58" s="14"/>
      <c r="P58" s="7" t="s">
        <v>511</v>
      </c>
      <c r="Q58" s="14"/>
      <c r="R58" s="7" t="s">
        <v>512</v>
      </c>
      <c r="S58" s="14"/>
      <c r="T58" s="11">
        <v>0.96199999999999997</v>
      </c>
      <c r="U58" s="15">
        <v>177</v>
      </c>
      <c r="V58" s="15">
        <v>435</v>
      </c>
      <c r="W58" s="7" t="s">
        <v>635</v>
      </c>
      <c r="X58" s="15">
        <v>38</v>
      </c>
      <c r="Y58" s="14"/>
      <c r="Z58" s="14"/>
      <c r="AA58" s="14"/>
      <c r="AB58" s="14"/>
      <c r="AC58" s="7" t="s">
        <v>35</v>
      </c>
      <c r="AD58" s="7" t="s">
        <v>284</v>
      </c>
      <c r="AE58" s="7" t="s">
        <v>636</v>
      </c>
      <c r="AF58" s="7" t="s">
        <v>637</v>
      </c>
      <c r="AG58" s="7" t="s">
        <v>638</v>
      </c>
      <c r="AH58" s="7" t="s">
        <v>288</v>
      </c>
      <c r="AI58" s="8" t="s">
        <v>639</v>
      </c>
    </row>
    <row r="59" spans="1:35" ht="48.75" customHeight="1">
      <c r="A59" s="7" t="s">
        <v>640</v>
      </c>
      <c r="B59" s="7" t="s">
        <v>278</v>
      </c>
      <c r="C59" s="7" t="s">
        <v>641</v>
      </c>
      <c r="D59" s="7" t="s">
        <v>508</v>
      </c>
      <c r="E59" s="7" t="s">
        <v>634</v>
      </c>
      <c r="F59" s="7" t="s">
        <v>113</v>
      </c>
      <c r="G59" s="7"/>
      <c r="H59" s="15">
        <v>3500</v>
      </c>
      <c r="I59" s="15">
        <v>1000</v>
      </c>
      <c r="J59" s="15">
        <v>150</v>
      </c>
      <c r="K59" s="14"/>
      <c r="L59" s="15">
        <v>3000</v>
      </c>
      <c r="M59" s="14"/>
      <c r="N59" s="14"/>
      <c r="O59" s="14"/>
      <c r="P59" s="7" t="s">
        <v>511</v>
      </c>
      <c r="Q59" s="9">
        <v>12.7</v>
      </c>
      <c r="R59" s="7"/>
      <c r="S59" s="14"/>
      <c r="T59" s="11">
        <v>0.48699999999999999</v>
      </c>
      <c r="U59" s="9">
        <v>41.3</v>
      </c>
      <c r="V59" s="15">
        <v>692</v>
      </c>
      <c r="W59" s="7" t="s">
        <v>635</v>
      </c>
      <c r="X59" s="15">
        <v>38</v>
      </c>
      <c r="Y59" s="14"/>
      <c r="Z59" s="14"/>
      <c r="AA59" s="14"/>
      <c r="AB59" s="14"/>
      <c r="AC59" s="7" t="s">
        <v>35</v>
      </c>
      <c r="AD59" s="7" t="s">
        <v>284</v>
      </c>
      <c r="AE59" s="7" t="s">
        <v>642</v>
      </c>
      <c r="AF59" s="7" t="s">
        <v>643</v>
      </c>
      <c r="AG59" s="7" t="s">
        <v>638</v>
      </c>
      <c r="AH59" s="7" t="s">
        <v>288</v>
      </c>
      <c r="AI59" s="8" t="s">
        <v>639</v>
      </c>
    </row>
    <row r="60" spans="1:35" ht="48.75" customHeight="1">
      <c r="A60" s="7" t="s">
        <v>644</v>
      </c>
      <c r="B60" s="7" t="s">
        <v>278</v>
      </c>
      <c r="C60" s="7" t="s">
        <v>645</v>
      </c>
      <c r="D60" s="7" t="s">
        <v>508</v>
      </c>
      <c r="E60" s="7" t="s">
        <v>634</v>
      </c>
      <c r="F60" s="7" t="s">
        <v>113</v>
      </c>
      <c r="G60" s="7"/>
      <c r="H60" s="15">
        <v>3500</v>
      </c>
      <c r="I60" s="15">
        <v>1000</v>
      </c>
      <c r="J60" s="15">
        <v>150</v>
      </c>
      <c r="K60" s="14"/>
      <c r="L60" s="15">
        <v>3000</v>
      </c>
      <c r="M60" s="14"/>
      <c r="N60" s="14"/>
      <c r="O60" s="14"/>
      <c r="P60" s="7" t="s">
        <v>511</v>
      </c>
      <c r="Q60" s="9">
        <v>15.9</v>
      </c>
      <c r="R60" s="7"/>
      <c r="S60" s="14"/>
      <c r="T60" s="11">
        <v>0.76400000000000001</v>
      </c>
      <c r="U60" s="9">
        <v>41.3</v>
      </c>
      <c r="V60" s="15">
        <v>692</v>
      </c>
      <c r="W60" s="7" t="s">
        <v>635</v>
      </c>
      <c r="X60" s="15">
        <v>38</v>
      </c>
      <c r="Y60" s="14"/>
      <c r="Z60" s="14"/>
      <c r="AA60" s="14"/>
      <c r="AB60" s="14"/>
      <c r="AC60" s="7" t="s">
        <v>35</v>
      </c>
      <c r="AD60" s="7" t="s">
        <v>284</v>
      </c>
      <c r="AE60" s="7" t="s">
        <v>642</v>
      </c>
      <c r="AF60" s="7" t="s">
        <v>643</v>
      </c>
      <c r="AG60" s="7" t="s">
        <v>646</v>
      </c>
      <c r="AH60" s="7" t="s">
        <v>288</v>
      </c>
      <c r="AI60" s="8" t="s">
        <v>639</v>
      </c>
    </row>
    <row r="61" spans="1:35" ht="48.75" customHeight="1">
      <c r="A61" s="7" t="s">
        <v>647</v>
      </c>
      <c r="B61" s="7" t="s">
        <v>278</v>
      </c>
      <c r="C61" s="7" t="s">
        <v>648</v>
      </c>
      <c r="D61" s="7" t="s">
        <v>508</v>
      </c>
      <c r="E61" s="7" t="s">
        <v>634</v>
      </c>
      <c r="F61" s="7" t="s">
        <v>113</v>
      </c>
      <c r="G61" s="7"/>
      <c r="H61" s="15">
        <v>3500</v>
      </c>
      <c r="I61" s="15">
        <v>1000</v>
      </c>
      <c r="J61" s="15">
        <v>150</v>
      </c>
      <c r="K61" s="14"/>
      <c r="L61" s="15">
        <v>3000</v>
      </c>
      <c r="M61" s="14"/>
      <c r="N61" s="14"/>
      <c r="O61" s="14"/>
      <c r="P61" s="7" t="s">
        <v>511</v>
      </c>
      <c r="Q61" s="9">
        <v>15.9</v>
      </c>
      <c r="R61" s="7"/>
      <c r="S61" s="14"/>
      <c r="T61" s="11">
        <v>0.95499999999999996</v>
      </c>
      <c r="U61" s="9">
        <v>41.3</v>
      </c>
      <c r="V61" s="15">
        <v>692</v>
      </c>
      <c r="W61" s="7" t="s">
        <v>635</v>
      </c>
      <c r="X61" s="15">
        <v>38</v>
      </c>
      <c r="Y61" s="14"/>
      <c r="Z61" s="14"/>
      <c r="AA61" s="14"/>
      <c r="AB61" s="14"/>
      <c r="AC61" s="7" t="s">
        <v>35</v>
      </c>
      <c r="AD61" s="7" t="s">
        <v>284</v>
      </c>
      <c r="AE61" s="7" t="s">
        <v>649</v>
      </c>
      <c r="AF61" s="7" t="s">
        <v>643</v>
      </c>
      <c r="AG61" s="7" t="s">
        <v>638</v>
      </c>
      <c r="AH61" s="7" t="s">
        <v>288</v>
      </c>
      <c r="AI61" s="8" t="s">
        <v>639</v>
      </c>
    </row>
    <row r="62" spans="1:35" ht="62.45" customHeight="1">
      <c r="A62" s="7" t="s">
        <v>650</v>
      </c>
      <c r="B62" s="7" t="s">
        <v>278</v>
      </c>
      <c r="C62" s="7" t="s">
        <v>651</v>
      </c>
      <c r="D62" s="7" t="s">
        <v>508</v>
      </c>
      <c r="E62" s="7" t="s">
        <v>634</v>
      </c>
      <c r="F62" s="7" t="s">
        <v>510</v>
      </c>
      <c r="G62" s="7"/>
      <c r="H62" s="15">
        <v>3500</v>
      </c>
      <c r="I62" s="15">
        <v>1000</v>
      </c>
      <c r="J62" s="15">
        <v>200</v>
      </c>
      <c r="K62" s="14"/>
      <c r="L62" s="15">
        <v>3000</v>
      </c>
      <c r="M62" s="14"/>
      <c r="N62" s="14"/>
      <c r="O62" s="14"/>
      <c r="P62" s="7" t="s">
        <v>511</v>
      </c>
      <c r="Q62" s="14"/>
      <c r="R62" s="7" t="s">
        <v>652</v>
      </c>
      <c r="S62" s="14"/>
      <c r="T62" s="10">
        <v>0.39</v>
      </c>
      <c r="U62" s="15">
        <v>177</v>
      </c>
      <c r="V62" s="15">
        <v>435</v>
      </c>
      <c r="W62" s="7" t="s">
        <v>635</v>
      </c>
      <c r="X62" s="15">
        <v>38</v>
      </c>
      <c r="Y62" s="14"/>
      <c r="Z62" s="14"/>
      <c r="AA62" s="14"/>
      <c r="AB62" s="14"/>
      <c r="AC62" s="7" t="s">
        <v>35</v>
      </c>
      <c r="AD62" s="7" t="s">
        <v>284</v>
      </c>
      <c r="AE62" s="7" t="s">
        <v>636</v>
      </c>
      <c r="AF62" s="7" t="s">
        <v>637</v>
      </c>
      <c r="AG62" s="7" t="s">
        <v>638</v>
      </c>
      <c r="AH62" s="7" t="s">
        <v>288</v>
      </c>
      <c r="AI62" s="8" t="s">
        <v>639</v>
      </c>
    </row>
    <row r="63" spans="1:35" ht="48.75" customHeight="1">
      <c r="A63" s="7" t="s">
        <v>653</v>
      </c>
      <c r="B63" s="7" t="s">
        <v>278</v>
      </c>
      <c r="C63" s="7" t="s">
        <v>654</v>
      </c>
      <c r="D63" s="7" t="s">
        <v>508</v>
      </c>
      <c r="E63" s="7" t="s">
        <v>634</v>
      </c>
      <c r="F63" s="7" t="s">
        <v>113</v>
      </c>
      <c r="G63" s="7"/>
      <c r="H63" s="15">
        <v>3500</v>
      </c>
      <c r="I63" s="15">
        <v>1000</v>
      </c>
      <c r="J63" s="15">
        <v>200</v>
      </c>
      <c r="K63" s="14"/>
      <c r="L63" s="15">
        <v>3000</v>
      </c>
      <c r="M63" s="14"/>
      <c r="N63" s="14"/>
      <c r="O63" s="14"/>
      <c r="P63" s="7" t="s">
        <v>511</v>
      </c>
      <c r="Q63" s="9">
        <v>9.5</v>
      </c>
      <c r="R63" s="7"/>
      <c r="S63" s="14"/>
      <c r="T63" s="10">
        <v>0.23</v>
      </c>
      <c r="U63" s="9">
        <v>41.3</v>
      </c>
      <c r="V63" s="15">
        <v>692</v>
      </c>
      <c r="W63" s="7" t="s">
        <v>635</v>
      </c>
      <c r="X63" s="15">
        <v>38</v>
      </c>
      <c r="Y63" s="14"/>
      <c r="Z63" s="14"/>
      <c r="AA63" s="14"/>
      <c r="AB63" s="14"/>
      <c r="AC63" s="7" t="s">
        <v>35</v>
      </c>
      <c r="AD63" s="7" t="s">
        <v>284</v>
      </c>
      <c r="AE63" s="7" t="s">
        <v>642</v>
      </c>
      <c r="AF63" s="7" t="s">
        <v>643</v>
      </c>
      <c r="AG63" s="7" t="s">
        <v>638</v>
      </c>
      <c r="AH63" s="7" t="s">
        <v>288</v>
      </c>
      <c r="AI63" s="8" t="s">
        <v>639</v>
      </c>
    </row>
    <row r="64" spans="1:35" ht="48.75" customHeight="1">
      <c r="A64" s="7" t="s">
        <v>655</v>
      </c>
      <c r="B64" s="7" t="s">
        <v>278</v>
      </c>
      <c r="C64" s="7" t="s">
        <v>656</v>
      </c>
      <c r="D64" s="7" t="s">
        <v>508</v>
      </c>
      <c r="E64" s="7" t="s">
        <v>634</v>
      </c>
      <c r="F64" s="7" t="s">
        <v>113</v>
      </c>
      <c r="G64" s="7"/>
      <c r="H64" s="15">
        <v>3500</v>
      </c>
      <c r="I64" s="15">
        <v>1000</v>
      </c>
      <c r="J64" s="15">
        <v>200</v>
      </c>
      <c r="K64" s="14"/>
      <c r="L64" s="15">
        <v>3000</v>
      </c>
      <c r="M64" s="14"/>
      <c r="N64" s="14"/>
      <c r="O64" s="14"/>
      <c r="P64" s="7" t="s">
        <v>511</v>
      </c>
      <c r="Q64" s="9">
        <v>15.9</v>
      </c>
      <c r="R64" s="7"/>
      <c r="S64" s="14"/>
      <c r="T64" s="11">
        <v>0.77400000000000002</v>
      </c>
      <c r="U64" s="9">
        <v>41.3</v>
      </c>
      <c r="V64" s="15">
        <v>692</v>
      </c>
      <c r="W64" s="7" t="s">
        <v>635</v>
      </c>
      <c r="X64" s="15">
        <v>38</v>
      </c>
      <c r="Y64" s="14"/>
      <c r="Z64" s="14"/>
      <c r="AA64" s="14"/>
      <c r="AB64" s="14"/>
      <c r="AC64" s="7" t="s">
        <v>35</v>
      </c>
      <c r="AD64" s="7" t="s">
        <v>284</v>
      </c>
      <c r="AE64" s="7" t="s">
        <v>649</v>
      </c>
      <c r="AF64" s="7" t="s">
        <v>643</v>
      </c>
      <c r="AG64" s="7" t="s">
        <v>638</v>
      </c>
      <c r="AH64" s="7" t="s">
        <v>288</v>
      </c>
      <c r="AI64" s="8" t="s">
        <v>639</v>
      </c>
    </row>
    <row r="65" spans="1:35" ht="48.75" customHeight="1">
      <c r="A65" s="7" t="s">
        <v>657</v>
      </c>
      <c r="B65" s="7" t="s">
        <v>278</v>
      </c>
      <c r="C65" s="7" t="s">
        <v>658</v>
      </c>
      <c r="D65" s="7" t="s">
        <v>508</v>
      </c>
      <c r="E65" s="7" t="s">
        <v>634</v>
      </c>
      <c r="F65" s="7" t="s">
        <v>268</v>
      </c>
      <c r="G65" s="7"/>
      <c r="H65" s="15">
        <v>3500</v>
      </c>
      <c r="I65" s="15">
        <v>1000</v>
      </c>
      <c r="J65" s="15">
        <v>200</v>
      </c>
      <c r="K65" s="14"/>
      <c r="L65" s="15">
        <v>3000</v>
      </c>
      <c r="M65" s="14"/>
      <c r="N65" s="14"/>
      <c r="O65" s="14"/>
      <c r="P65" s="7" t="s">
        <v>511</v>
      </c>
      <c r="Q65" s="15">
        <v>8</v>
      </c>
      <c r="R65" s="7"/>
      <c r="S65" s="14"/>
      <c r="T65" s="11">
        <v>0.30299999999999999</v>
      </c>
      <c r="U65" s="15">
        <v>147</v>
      </c>
      <c r="V65" s="15">
        <v>2250</v>
      </c>
      <c r="W65" s="7" t="s">
        <v>635</v>
      </c>
      <c r="X65" s="15">
        <v>38</v>
      </c>
      <c r="Y65" s="14"/>
      <c r="Z65" s="14"/>
      <c r="AA65" s="14"/>
      <c r="AB65" s="14"/>
      <c r="AC65" s="7" t="s">
        <v>35</v>
      </c>
      <c r="AD65" s="7" t="s">
        <v>284</v>
      </c>
      <c r="AE65" s="7" t="s">
        <v>659</v>
      </c>
      <c r="AF65" s="7" t="s">
        <v>643</v>
      </c>
      <c r="AG65" s="7" t="s">
        <v>638</v>
      </c>
      <c r="AH65" s="7" t="s">
        <v>288</v>
      </c>
      <c r="AI65" s="8" t="s">
        <v>639</v>
      </c>
    </row>
    <row r="66" spans="1:35" ht="48.75" customHeight="1">
      <c r="A66" s="7" t="s">
        <v>660</v>
      </c>
      <c r="B66" s="7" t="s">
        <v>309</v>
      </c>
      <c r="C66" s="7" t="s">
        <v>661</v>
      </c>
      <c r="D66" s="7" t="s">
        <v>662</v>
      </c>
      <c r="E66" s="7" t="s">
        <v>663</v>
      </c>
      <c r="F66" s="7" t="s">
        <v>356</v>
      </c>
      <c r="G66" s="7" t="s">
        <v>315</v>
      </c>
      <c r="H66" s="14"/>
      <c r="I66" s="14"/>
      <c r="J66" s="15">
        <v>160</v>
      </c>
      <c r="K66" s="14"/>
      <c r="L66" s="15">
        <v>1400</v>
      </c>
      <c r="M66" s="14"/>
      <c r="N66" s="14"/>
      <c r="O66" s="9">
        <v>50.2</v>
      </c>
      <c r="P66" s="7" t="s">
        <v>664</v>
      </c>
      <c r="Q66" s="15">
        <v>12</v>
      </c>
      <c r="R66" s="7"/>
      <c r="S66" s="14"/>
      <c r="T66" s="9">
        <v>0.6</v>
      </c>
      <c r="U66" s="15">
        <v>54</v>
      </c>
      <c r="V66" s="15">
        <v>920</v>
      </c>
      <c r="W66" s="7" t="s">
        <v>665</v>
      </c>
      <c r="X66" s="14"/>
      <c r="Y66" s="14"/>
      <c r="Z66" s="14"/>
      <c r="AA66" s="14"/>
      <c r="AB66" s="15">
        <v>300</v>
      </c>
      <c r="AC66" s="7" t="s">
        <v>314</v>
      </c>
      <c r="AD66" s="7" t="s">
        <v>666</v>
      </c>
      <c r="AE66" s="7" t="s">
        <v>667</v>
      </c>
      <c r="AF66" s="7" t="s">
        <v>668</v>
      </c>
      <c r="AG66" s="7" t="s">
        <v>669</v>
      </c>
      <c r="AH66" s="7" t="s">
        <v>670</v>
      </c>
      <c r="AI66" s="8" t="s">
        <v>325</v>
      </c>
    </row>
    <row r="67" spans="1:35" ht="48.75" customHeight="1">
      <c r="A67" s="7" t="s">
        <v>671</v>
      </c>
      <c r="B67" s="7" t="s">
        <v>309</v>
      </c>
      <c r="C67" s="7" t="s">
        <v>672</v>
      </c>
      <c r="D67" s="7" t="s">
        <v>662</v>
      </c>
      <c r="E67" s="7" t="s">
        <v>663</v>
      </c>
      <c r="F67" s="7" t="s">
        <v>356</v>
      </c>
      <c r="G67" s="7" t="s">
        <v>315</v>
      </c>
      <c r="H67" s="14"/>
      <c r="I67" s="14"/>
      <c r="J67" s="15">
        <v>160</v>
      </c>
      <c r="K67" s="14"/>
      <c r="L67" s="15">
        <v>1600</v>
      </c>
      <c r="M67" s="14"/>
      <c r="N67" s="14"/>
      <c r="O67" s="9">
        <v>50.2</v>
      </c>
      <c r="P67" s="7" t="s">
        <v>664</v>
      </c>
      <c r="Q67" s="15">
        <v>12</v>
      </c>
      <c r="R67" s="7"/>
      <c r="S67" s="14"/>
      <c r="T67" s="9">
        <v>0.6</v>
      </c>
      <c r="U67" s="15">
        <v>54</v>
      </c>
      <c r="V67" s="15">
        <v>920</v>
      </c>
      <c r="W67" s="7" t="s">
        <v>665</v>
      </c>
      <c r="X67" s="14"/>
      <c r="Y67" s="14"/>
      <c r="Z67" s="14"/>
      <c r="AA67" s="14"/>
      <c r="AB67" s="15">
        <v>300</v>
      </c>
      <c r="AC67" s="7" t="s">
        <v>314</v>
      </c>
      <c r="AD67" s="7" t="s">
        <v>666</v>
      </c>
      <c r="AE67" s="7" t="s">
        <v>667</v>
      </c>
      <c r="AF67" s="7" t="s">
        <v>668</v>
      </c>
      <c r="AG67" s="7" t="s">
        <v>669</v>
      </c>
      <c r="AH67" s="7" t="s">
        <v>670</v>
      </c>
      <c r="AI67" s="8" t="s">
        <v>325</v>
      </c>
    </row>
    <row r="68" spans="1:35" ht="48.75" customHeight="1">
      <c r="A68" s="7" t="s">
        <v>673</v>
      </c>
      <c r="B68" s="7" t="s">
        <v>309</v>
      </c>
      <c r="C68" s="7" t="s">
        <v>674</v>
      </c>
      <c r="D68" s="7" t="s">
        <v>662</v>
      </c>
      <c r="E68" s="7" t="s">
        <v>663</v>
      </c>
      <c r="F68" s="7" t="s">
        <v>356</v>
      </c>
      <c r="G68" s="7" t="s">
        <v>315</v>
      </c>
      <c r="H68" s="14"/>
      <c r="I68" s="14"/>
      <c r="J68" s="15">
        <v>160</v>
      </c>
      <c r="K68" s="14"/>
      <c r="L68" s="15">
        <v>1600</v>
      </c>
      <c r="M68" s="14"/>
      <c r="N68" s="14"/>
      <c r="O68" s="9">
        <v>50.2</v>
      </c>
      <c r="P68" s="7" t="s">
        <v>664</v>
      </c>
      <c r="Q68" s="15">
        <v>12</v>
      </c>
      <c r="R68" s="7"/>
      <c r="S68" s="14"/>
      <c r="T68" s="9">
        <v>0.6</v>
      </c>
      <c r="U68" s="15">
        <v>54</v>
      </c>
      <c r="V68" s="15">
        <v>920</v>
      </c>
      <c r="W68" s="7" t="s">
        <v>665</v>
      </c>
      <c r="X68" s="14"/>
      <c r="Y68" s="14"/>
      <c r="Z68" s="14"/>
      <c r="AA68" s="14"/>
      <c r="AB68" s="15">
        <v>300</v>
      </c>
      <c r="AC68" s="7" t="s">
        <v>314</v>
      </c>
      <c r="AD68" s="7" t="s">
        <v>666</v>
      </c>
      <c r="AE68" s="7" t="s">
        <v>667</v>
      </c>
      <c r="AF68" s="7" t="s">
        <v>668</v>
      </c>
      <c r="AG68" s="7" t="s">
        <v>669</v>
      </c>
      <c r="AH68" s="7" t="s">
        <v>670</v>
      </c>
      <c r="AI68" s="8" t="s">
        <v>325</v>
      </c>
    </row>
    <row r="69" spans="1:35" ht="48.75" customHeight="1">
      <c r="A69" s="7" t="s">
        <v>675</v>
      </c>
      <c r="B69" s="7" t="s">
        <v>309</v>
      </c>
      <c r="C69" s="7" t="s">
        <v>676</v>
      </c>
      <c r="D69" s="7" t="s">
        <v>662</v>
      </c>
      <c r="E69" s="7" t="s">
        <v>663</v>
      </c>
      <c r="F69" s="7" t="s">
        <v>356</v>
      </c>
      <c r="G69" s="7" t="s">
        <v>315</v>
      </c>
      <c r="H69" s="14"/>
      <c r="I69" s="14"/>
      <c r="J69" s="15">
        <v>160</v>
      </c>
      <c r="K69" s="14"/>
      <c r="L69" s="15">
        <v>1400</v>
      </c>
      <c r="M69" s="14"/>
      <c r="N69" s="14"/>
      <c r="O69" s="9">
        <v>50.2</v>
      </c>
      <c r="P69" s="7" t="s">
        <v>664</v>
      </c>
      <c r="Q69" s="15">
        <v>12</v>
      </c>
      <c r="R69" s="7"/>
      <c r="S69" s="14"/>
      <c r="T69" s="9">
        <v>0.6</v>
      </c>
      <c r="U69" s="15">
        <v>54</v>
      </c>
      <c r="V69" s="15">
        <v>920</v>
      </c>
      <c r="W69" s="7" t="s">
        <v>665</v>
      </c>
      <c r="X69" s="14"/>
      <c r="Y69" s="14"/>
      <c r="Z69" s="14"/>
      <c r="AA69" s="14"/>
      <c r="AB69" s="15">
        <v>300</v>
      </c>
      <c r="AC69" s="7" t="s">
        <v>314</v>
      </c>
      <c r="AD69" s="7" t="s">
        <v>666</v>
      </c>
      <c r="AE69" s="7" t="s">
        <v>667</v>
      </c>
      <c r="AF69" s="7" t="s">
        <v>668</v>
      </c>
      <c r="AG69" s="7" t="s">
        <v>669</v>
      </c>
      <c r="AH69" s="7" t="s">
        <v>670</v>
      </c>
      <c r="AI69" s="8" t="s">
        <v>325</v>
      </c>
    </row>
    <row r="70" spans="1:35" ht="48.75" customHeight="1">
      <c r="A70" s="7" t="s">
        <v>677</v>
      </c>
      <c r="B70" s="7" t="s">
        <v>309</v>
      </c>
      <c r="C70" s="7" t="s">
        <v>678</v>
      </c>
      <c r="D70" s="7" t="s">
        <v>662</v>
      </c>
      <c r="E70" s="7" t="s">
        <v>663</v>
      </c>
      <c r="F70" s="7" t="s">
        <v>510</v>
      </c>
      <c r="G70" s="7" t="s">
        <v>315</v>
      </c>
      <c r="H70" s="14"/>
      <c r="I70" s="14"/>
      <c r="J70" s="15">
        <v>160</v>
      </c>
      <c r="K70" s="14"/>
      <c r="L70" s="15">
        <v>1400</v>
      </c>
      <c r="M70" s="14"/>
      <c r="N70" s="14"/>
      <c r="O70" s="9">
        <v>50.2</v>
      </c>
      <c r="P70" s="7" t="s">
        <v>664</v>
      </c>
      <c r="Q70" s="15">
        <v>12</v>
      </c>
      <c r="R70" s="7"/>
      <c r="S70" s="14"/>
      <c r="T70" s="9">
        <v>0.7</v>
      </c>
      <c r="U70" s="15">
        <v>210</v>
      </c>
      <c r="V70" s="15">
        <v>520</v>
      </c>
      <c r="W70" s="7" t="s">
        <v>679</v>
      </c>
      <c r="X70" s="14"/>
      <c r="Y70" s="14"/>
      <c r="Z70" s="14"/>
      <c r="AA70" s="14"/>
      <c r="AB70" s="15">
        <v>300</v>
      </c>
      <c r="AC70" s="7" t="s">
        <v>314</v>
      </c>
      <c r="AD70" s="7" t="s">
        <v>666</v>
      </c>
      <c r="AE70" s="7" t="s">
        <v>667</v>
      </c>
      <c r="AF70" s="7" t="s">
        <v>668</v>
      </c>
      <c r="AG70" s="7" t="s">
        <v>669</v>
      </c>
      <c r="AH70" s="7" t="s">
        <v>670</v>
      </c>
      <c r="AI70" s="8" t="s">
        <v>325</v>
      </c>
    </row>
    <row r="71" spans="1:35" ht="48.75" customHeight="1">
      <c r="A71" s="7" t="s">
        <v>680</v>
      </c>
      <c r="B71" s="7" t="s">
        <v>309</v>
      </c>
      <c r="C71" s="7" t="s">
        <v>681</v>
      </c>
      <c r="D71" s="7" t="s">
        <v>662</v>
      </c>
      <c r="E71" s="7" t="s">
        <v>663</v>
      </c>
      <c r="F71" s="7" t="s">
        <v>510</v>
      </c>
      <c r="G71" s="7" t="s">
        <v>315</v>
      </c>
      <c r="H71" s="14"/>
      <c r="I71" s="14"/>
      <c r="J71" s="15">
        <v>160</v>
      </c>
      <c r="K71" s="14"/>
      <c r="L71" s="15">
        <v>1600</v>
      </c>
      <c r="M71" s="14"/>
      <c r="N71" s="14"/>
      <c r="O71" s="9">
        <v>50.2</v>
      </c>
      <c r="P71" s="7" t="s">
        <v>664</v>
      </c>
      <c r="Q71" s="15">
        <v>12</v>
      </c>
      <c r="R71" s="7"/>
      <c r="S71" s="14"/>
      <c r="T71" s="9">
        <v>0.7</v>
      </c>
      <c r="U71" s="15">
        <v>210</v>
      </c>
      <c r="V71" s="15">
        <v>520</v>
      </c>
      <c r="W71" s="7" t="s">
        <v>679</v>
      </c>
      <c r="X71" s="14"/>
      <c r="Y71" s="14"/>
      <c r="Z71" s="14"/>
      <c r="AA71" s="14"/>
      <c r="AB71" s="15">
        <v>300</v>
      </c>
      <c r="AC71" s="7" t="s">
        <v>314</v>
      </c>
      <c r="AD71" s="7" t="s">
        <v>666</v>
      </c>
      <c r="AE71" s="7" t="s">
        <v>667</v>
      </c>
      <c r="AF71" s="7" t="s">
        <v>668</v>
      </c>
      <c r="AG71" s="7" t="s">
        <v>669</v>
      </c>
      <c r="AH71" s="7" t="s">
        <v>670</v>
      </c>
      <c r="AI71" s="8" t="s">
        <v>325</v>
      </c>
    </row>
    <row r="72" spans="1:35" ht="35.25" customHeight="1">
      <c r="A72" s="7" t="s">
        <v>682</v>
      </c>
      <c r="B72" s="7" t="s">
        <v>252</v>
      </c>
      <c r="C72" s="7" t="s">
        <v>683</v>
      </c>
      <c r="D72" s="7" t="s">
        <v>684</v>
      </c>
      <c r="E72" s="7" t="s">
        <v>685</v>
      </c>
      <c r="F72" s="7" t="s">
        <v>113</v>
      </c>
      <c r="G72" s="7"/>
      <c r="H72" s="15">
        <v>15240</v>
      </c>
      <c r="I72" s="15">
        <v>3890</v>
      </c>
      <c r="J72" s="14"/>
      <c r="K72" s="14"/>
      <c r="L72" s="14"/>
      <c r="M72" s="14"/>
      <c r="N72" s="14"/>
      <c r="O72" s="14"/>
      <c r="P72" s="7" t="s">
        <v>511</v>
      </c>
      <c r="Q72" s="14"/>
      <c r="R72" s="7"/>
      <c r="S72" s="14"/>
      <c r="T72" s="14"/>
      <c r="U72" s="14"/>
      <c r="V72" s="14"/>
      <c r="W72" s="7" t="s">
        <v>518</v>
      </c>
      <c r="X72" s="14"/>
      <c r="Y72" s="14"/>
      <c r="Z72" s="14"/>
      <c r="AA72" s="14"/>
      <c r="AB72" s="14"/>
      <c r="AC72" s="7"/>
      <c r="AD72" s="7" t="s">
        <v>686</v>
      </c>
      <c r="AE72" s="7" t="s">
        <v>687</v>
      </c>
      <c r="AF72" s="7" t="s">
        <v>688</v>
      </c>
      <c r="AG72" s="7" t="s">
        <v>689</v>
      </c>
      <c r="AH72" s="7" t="s">
        <v>690</v>
      </c>
      <c r="AI72" s="8" t="s">
        <v>691</v>
      </c>
    </row>
    <row r="73" spans="1:35" ht="35.25" customHeight="1">
      <c r="A73" s="7" t="s">
        <v>692</v>
      </c>
      <c r="B73" s="7" t="s">
        <v>252</v>
      </c>
      <c r="C73" s="7" t="s">
        <v>693</v>
      </c>
      <c r="D73" s="7" t="s">
        <v>684</v>
      </c>
      <c r="E73" s="7" t="s">
        <v>694</v>
      </c>
      <c r="F73" s="7" t="s">
        <v>113</v>
      </c>
      <c r="G73" s="7"/>
      <c r="H73" s="15">
        <v>15240</v>
      </c>
      <c r="I73" s="15">
        <v>3890</v>
      </c>
      <c r="J73" s="14"/>
      <c r="K73" s="14"/>
      <c r="L73" s="14"/>
      <c r="M73" s="14"/>
      <c r="N73" s="14"/>
      <c r="O73" s="14"/>
      <c r="P73" s="7" t="s">
        <v>511</v>
      </c>
      <c r="Q73" s="14"/>
      <c r="R73" s="7"/>
      <c r="S73" s="14"/>
      <c r="T73" s="14"/>
      <c r="U73" s="14"/>
      <c r="V73" s="14"/>
      <c r="W73" s="7" t="s">
        <v>518</v>
      </c>
      <c r="X73" s="14"/>
      <c r="Y73" s="14"/>
      <c r="Z73" s="14"/>
      <c r="AA73" s="14"/>
      <c r="AB73" s="14"/>
      <c r="AC73" s="7"/>
      <c r="AD73" s="7" t="s">
        <v>695</v>
      </c>
      <c r="AE73" s="7" t="s">
        <v>687</v>
      </c>
      <c r="AF73" s="7"/>
      <c r="AG73" s="7" t="s">
        <v>689</v>
      </c>
      <c r="AH73" s="7" t="s">
        <v>690</v>
      </c>
      <c r="AI73" s="8" t="s">
        <v>691</v>
      </c>
    </row>
    <row r="74" spans="1:35" ht="48.75" customHeight="1">
      <c r="A74" s="7" t="s">
        <v>696</v>
      </c>
      <c r="B74" s="7" t="s">
        <v>106</v>
      </c>
      <c r="C74" s="7" t="s">
        <v>697</v>
      </c>
      <c r="D74" s="7" t="s">
        <v>110</v>
      </c>
      <c r="E74" s="7" t="s">
        <v>698</v>
      </c>
      <c r="F74" s="7" t="s">
        <v>113</v>
      </c>
      <c r="G74" s="7" t="s">
        <v>699</v>
      </c>
      <c r="H74" s="14"/>
      <c r="I74" s="14"/>
      <c r="J74" s="15">
        <v>230</v>
      </c>
      <c r="K74" s="14"/>
      <c r="L74" s="14"/>
      <c r="M74" s="14"/>
      <c r="N74" s="14"/>
      <c r="O74" s="15">
        <v>27</v>
      </c>
      <c r="P74" s="7" t="s">
        <v>700</v>
      </c>
      <c r="Q74" s="10">
        <v>18.72</v>
      </c>
      <c r="R74" s="7"/>
      <c r="S74" s="14"/>
      <c r="T74" s="14"/>
      <c r="U74" s="15">
        <v>40</v>
      </c>
      <c r="V74" s="15">
        <v>597</v>
      </c>
      <c r="W74" s="7" t="s">
        <v>518</v>
      </c>
      <c r="X74" s="15">
        <v>38</v>
      </c>
      <c r="Y74" s="15">
        <v>64</v>
      </c>
      <c r="Z74" s="14"/>
      <c r="AA74" s="14"/>
      <c r="AB74" s="14"/>
      <c r="AC74" s="7"/>
      <c r="AD74" s="7" t="s">
        <v>114</v>
      </c>
      <c r="AE74" s="7"/>
      <c r="AF74" s="7" t="s">
        <v>701</v>
      </c>
      <c r="AG74" s="7" t="s">
        <v>689</v>
      </c>
      <c r="AH74" s="7" t="s">
        <v>702</v>
      </c>
      <c r="AI74" s="8" t="s">
        <v>703</v>
      </c>
    </row>
    <row r="75" spans="1:35" ht="48.75" customHeight="1">
      <c r="A75" s="7" t="s">
        <v>704</v>
      </c>
      <c r="B75" s="7" t="s">
        <v>218</v>
      </c>
      <c r="C75" s="7" t="s">
        <v>705</v>
      </c>
      <c r="D75" s="7" t="s">
        <v>706</v>
      </c>
      <c r="E75" s="7" t="s">
        <v>707</v>
      </c>
      <c r="F75" s="7" t="s">
        <v>113</v>
      </c>
      <c r="G75" s="7"/>
      <c r="H75" s="14"/>
      <c r="I75" s="14"/>
      <c r="J75" s="15">
        <v>200</v>
      </c>
      <c r="K75" s="14"/>
      <c r="L75" s="14"/>
      <c r="M75" s="14"/>
      <c r="N75" s="14"/>
      <c r="O75" s="15">
        <v>37</v>
      </c>
      <c r="P75" s="7" t="s">
        <v>700</v>
      </c>
      <c r="Q75" s="14"/>
      <c r="R75" s="7"/>
      <c r="S75" s="14"/>
      <c r="T75" s="14"/>
      <c r="U75" s="14"/>
      <c r="V75" s="14"/>
      <c r="W75" s="7" t="s">
        <v>518</v>
      </c>
      <c r="X75" s="15">
        <v>38</v>
      </c>
      <c r="Y75" s="15">
        <v>60</v>
      </c>
      <c r="Z75" s="14"/>
      <c r="AA75" s="14"/>
      <c r="AB75" s="14"/>
      <c r="AC75" s="7"/>
      <c r="AD75" s="7"/>
      <c r="AE75" s="7"/>
      <c r="AF75" s="7" t="s">
        <v>708</v>
      </c>
      <c r="AG75" s="7" t="s">
        <v>689</v>
      </c>
      <c r="AH75" s="7" t="s">
        <v>709</v>
      </c>
      <c r="AI75" s="8" t="s">
        <v>710</v>
      </c>
    </row>
    <row r="76" spans="1:35" ht="35.25" customHeight="1">
      <c r="A76" s="7" t="s">
        <v>711</v>
      </c>
      <c r="B76" s="7" t="s">
        <v>218</v>
      </c>
      <c r="C76" s="7" t="s">
        <v>712</v>
      </c>
      <c r="D76" s="7" t="s">
        <v>713</v>
      </c>
      <c r="E76" s="7" t="s">
        <v>714</v>
      </c>
      <c r="F76" s="7" t="s">
        <v>715</v>
      </c>
      <c r="G76" s="7"/>
      <c r="H76" s="14"/>
      <c r="I76" s="14"/>
      <c r="J76" s="15">
        <v>200</v>
      </c>
      <c r="K76" s="14"/>
      <c r="L76" s="14"/>
      <c r="M76" s="14"/>
      <c r="N76" s="14"/>
      <c r="O76" s="15">
        <v>37</v>
      </c>
      <c r="P76" s="7" t="s">
        <v>700</v>
      </c>
      <c r="Q76" s="9">
        <v>15.9</v>
      </c>
      <c r="R76" s="7"/>
      <c r="S76" s="14"/>
      <c r="T76" s="14"/>
      <c r="U76" s="15">
        <v>200</v>
      </c>
      <c r="V76" s="15">
        <v>453</v>
      </c>
      <c r="W76" s="7" t="s">
        <v>513</v>
      </c>
      <c r="X76" s="14"/>
      <c r="Y76" s="14"/>
      <c r="Z76" s="14"/>
      <c r="AA76" s="14"/>
      <c r="AB76" s="14"/>
      <c r="AC76" s="7"/>
      <c r="AD76" s="7"/>
      <c r="AE76" s="7"/>
      <c r="AF76" s="7"/>
      <c r="AG76" s="7" t="s">
        <v>689</v>
      </c>
      <c r="AH76" s="7" t="s">
        <v>716</v>
      </c>
      <c r="AI76" s="8" t="s">
        <v>710</v>
      </c>
    </row>
  </sheetData>
  <phoneticPr fontId="7" type="noConversion"/>
  <conditionalFormatting sqref="AF7:AF76">
    <cfRule type="containsText" dxfId="1" priority="1" operator="containsText" text="unresolved"/>
  </conditionalFormatting>
  <conditionalFormatting sqref="AG7:AG76">
    <cfRule type="containsText" dxfId="0" priority="4" operator="containsText" text="unresolved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CBD6"/>
  </sheetPr>
  <dimension ref="A1:H11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4.25"/>
  <cols>
    <col min="1" max="1" width="26.625" customWidth="1"/>
    <col min="2" max="2" width="11.125" customWidth="1"/>
    <col min="3" max="3" width="45.5" customWidth="1"/>
    <col min="4" max="4" width="20" customWidth="1"/>
    <col min="5" max="5" width="12.25" customWidth="1"/>
    <col min="6" max="6" width="55.5" customWidth="1"/>
    <col min="7" max="7" width="42.25" customWidth="1"/>
    <col min="8" max="8" width="50" customWidth="1"/>
  </cols>
  <sheetData>
    <row r="1" spans="1:8" ht="27.95" customHeight="1">
      <c r="A1" s="1"/>
      <c r="B1" s="1"/>
      <c r="C1" s="1"/>
      <c r="D1" s="1"/>
      <c r="E1" s="1"/>
      <c r="F1" s="1"/>
      <c r="G1" s="1"/>
      <c r="H1" s="1"/>
    </row>
    <row r="2" spans="1:8" ht="27.95" customHeight="1">
      <c r="A2" s="2" t="s">
        <v>717</v>
      </c>
      <c r="B2" s="1"/>
      <c r="C2" s="1"/>
      <c r="D2" s="1"/>
      <c r="E2" s="1"/>
      <c r="F2" s="1"/>
      <c r="G2" s="1"/>
      <c r="H2" s="1"/>
    </row>
    <row r="3" spans="1:8" ht="27.95" customHeight="1">
      <c r="A3" s="3" t="s">
        <v>718</v>
      </c>
      <c r="B3" s="1"/>
      <c r="C3" s="1"/>
      <c r="D3" s="1"/>
      <c r="E3" s="1"/>
      <c r="F3" s="1"/>
      <c r="G3" s="1"/>
      <c r="H3" s="1"/>
    </row>
    <row r="4" spans="1:8" ht="27.95" customHeight="1">
      <c r="A4" s="4"/>
      <c r="B4" s="4"/>
      <c r="C4" s="4"/>
      <c r="D4" s="4"/>
      <c r="E4" s="4"/>
      <c r="F4" s="4"/>
      <c r="G4" s="4"/>
      <c r="H4" s="4"/>
    </row>
    <row r="5" spans="1:8" ht="27.95" customHeight="1">
      <c r="A5" s="1"/>
      <c r="B5" s="1"/>
      <c r="C5" s="1"/>
      <c r="D5" s="1"/>
      <c r="E5" s="1"/>
      <c r="F5" s="1"/>
      <c r="G5" s="1"/>
      <c r="H5" s="1"/>
    </row>
    <row r="6" spans="1:8" ht="42" customHeight="1">
      <c r="A6" s="5" t="s">
        <v>381</v>
      </c>
      <c r="B6" s="5" t="s">
        <v>2</v>
      </c>
      <c r="C6" s="5" t="s">
        <v>719</v>
      </c>
      <c r="D6" s="5" t="s">
        <v>720</v>
      </c>
      <c r="E6" s="5" t="s">
        <v>721</v>
      </c>
      <c r="F6" s="5" t="s">
        <v>722</v>
      </c>
      <c r="G6" s="5" t="s">
        <v>25</v>
      </c>
      <c r="H6" s="5" t="s">
        <v>26</v>
      </c>
    </row>
    <row r="7" spans="1:8" ht="48.75" customHeight="1">
      <c r="A7" s="7" t="s">
        <v>540</v>
      </c>
      <c r="B7" s="7" t="s">
        <v>73</v>
      </c>
      <c r="C7" s="7" t="s">
        <v>419</v>
      </c>
      <c r="D7" s="7" t="s">
        <v>435</v>
      </c>
      <c r="E7" s="7"/>
      <c r="F7" s="7" t="s">
        <v>545</v>
      </c>
      <c r="G7" s="7" t="s">
        <v>84</v>
      </c>
      <c r="H7" s="8" t="s">
        <v>85</v>
      </c>
    </row>
    <row r="8" spans="1:8" ht="48.75" customHeight="1">
      <c r="A8" s="7" t="s">
        <v>540</v>
      </c>
      <c r="B8" s="7" t="s">
        <v>73</v>
      </c>
      <c r="C8" s="7" t="s">
        <v>723</v>
      </c>
      <c r="D8" s="7">
        <v>3.9</v>
      </c>
      <c r="E8" s="7" t="s">
        <v>724</v>
      </c>
      <c r="F8" s="7" t="s">
        <v>545</v>
      </c>
      <c r="G8" s="7" t="s">
        <v>84</v>
      </c>
      <c r="H8" s="8" t="s">
        <v>85</v>
      </c>
    </row>
    <row r="9" spans="1:8" ht="48.75" customHeight="1">
      <c r="A9" s="7" t="s">
        <v>540</v>
      </c>
      <c r="B9" s="7" t="s">
        <v>73</v>
      </c>
      <c r="C9" s="7" t="s">
        <v>725</v>
      </c>
      <c r="D9" s="7">
        <v>5</v>
      </c>
      <c r="E9" s="7" t="s">
        <v>726</v>
      </c>
      <c r="F9" s="7" t="s">
        <v>545</v>
      </c>
      <c r="G9" s="7" t="s">
        <v>84</v>
      </c>
      <c r="H9" s="8" t="s">
        <v>85</v>
      </c>
    </row>
    <row r="10" spans="1:8" ht="48.75" customHeight="1">
      <c r="A10" s="7" t="s">
        <v>546</v>
      </c>
      <c r="B10" s="7" t="s">
        <v>73</v>
      </c>
      <c r="C10" s="7" t="s">
        <v>419</v>
      </c>
      <c r="D10" s="7" t="s">
        <v>435</v>
      </c>
      <c r="E10" s="7"/>
      <c r="F10" s="7" t="s">
        <v>545</v>
      </c>
      <c r="G10" s="7" t="s">
        <v>84</v>
      </c>
      <c r="H10" s="8" t="s">
        <v>85</v>
      </c>
    </row>
    <row r="11" spans="1:8" ht="48.75" customHeight="1">
      <c r="A11" s="7" t="s">
        <v>546</v>
      </c>
      <c r="B11" s="7" t="s">
        <v>73</v>
      </c>
      <c r="C11" s="7" t="s">
        <v>723</v>
      </c>
      <c r="D11" s="7">
        <v>3.9</v>
      </c>
      <c r="E11" s="7" t="s">
        <v>724</v>
      </c>
      <c r="F11" s="7" t="s">
        <v>545</v>
      </c>
      <c r="G11" s="7" t="s">
        <v>84</v>
      </c>
      <c r="H11" s="8" t="s">
        <v>85</v>
      </c>
    </row>
    <row r="12" spans="1:8" ht="48.75" customHeight="1">
      <c r="A12" s="7" t="s">
        <v>546</v>
      </c>
      <c r="B12" s="7" t="s">
        <v>73</v>
      </c>
      <c r="C12" s="7" t="s">
        <v>725</v>
      </c>
      <c r="D12" s="7">
        <v>5</v>
      </c>
      <c r="E12" s="7" t="s">
        <v>726</v>
      </c>
      <c r="F12" s="7" t="s">
        <v>545</v>
      </c>
      <c r="G12" s="7" t="s">
        <v>84</v>
      </c>
      <c r="H12" s="8" t="s">
        <v>85</v>
      </c>
    </row>
    <row r="13" spans="1:8" ht="48.75" customHeight="1">
      <c r="A13" s="7" t="s">
        <v>548</v>
      </c>
      <c r="B13" s="7" t="s">
        <v>73</v>
      </c>
      <c r="C13" s="7" t="s">
        <v>419</v>
      </c>
      <c r="D13" s="7" t="s">
        <v>437</v>
      </c>
      <c r="E13" s="7"/>
      <c r="F13" s="7" t="s">
        <v>545</v>
      </c>
      <c r="G13" s="7" t="s">
        <v>84</v>
      </c>
      <c r="H13" s="8" t="s">
        <v>85</v>
      </c>
    </row>
    <row r="14" spans="1:8" ht="48.75" customHeight="1">
      <c r="A14" s="7" t="s">
        <v>548</v>
      </c>
      <c r="B14" s="7" t="s">
        <v>73</v>
      </c>
      <c r="C14" s="7" t="s">
        <v>723</v>
      </c>
      <c r="D14" s="7">
        <v>3.4</v>
      </c>
      <c r="E14" s="7" t="s">
        <v>724</v>
      </c>
      <c r="F14" s="7" t="s">
        <v>545</v>
      </c>
      <c r="G14" s="7" t="s">
        <v>84</v>
      </c>
      <c r="H14" s="8" t="s">
        <v>85</v>
      </c>
    </row>
    <row r="15" spans="1:8" ht="48.75" customHeight="1">
      <c r="A15" s="7" t="s">
        <v>548</v>
      </c>
      <c r="B15" s="7" t="s">
        <v>73</v>
      </c>
      <c r="C15" s="7" t="s">
        <v>725</v>
      </c>
      <c r="D15" s="7">
        <v>5</v>
      </c>
      <c r="E15" s="7" t="s">
        <v>726</v>
      </c>
      <c r="F15" s="7" t="s">
        <v>545</v>
      </c>
      <c r="G15" s="7" t="s">
        <v>84</v>
      </c>
      <c r="H15" s="8" t="s">
        <v>85</v>
      </c>
    </row>
    <row r="16" spans="1:8" ht="48.75" customHeight="1">
      <c r="A16" s="7" t="s">
        <v>551</v>
      </c>
      <c r="B16" s="7" t="s">
        <v>73</v>
      </c>
      <c r="C16" s="7" t="s">
        <v>419</v>
      </c>
      <c r="D16" s="7" t="s">
        <v>437</v>
      </c>
      <c r="E16" s="7"/>
      <c r="F16" s="7" t="s">
        <v>545</v>
      </c>
      <c r="G16" s="7" t="s">
        <v>84</v>
      </c>
      <c r="H16" s="8" t="s">
        <v>85</v>
      </c>
    </row>
    <row r="17" spans="1:8" ht="48.75" customHeight="1">
      <c r="A17" s="7" t="s">
        <v>551</v>
      </c>
      <c r="B17" s="7" t="s">
        <v>73</v>
      </c>
      <c r="C17" s="7" t="s">
        <v>723</v>
      </c>
      <c r="D17" s="7">
        <v>3.4</v>
      </c>
      <c r="E17" s="7" t="s">
        <v>724</v>
      </c>
      <c r="F17" s="7" t="s">
        <v>545</v>
      </c>
      <c r="G17" s="7" t="s">
        <v>84</v>
      </c>
      <c r="H17" s="8" t="s">
        <v>85</v>
      </c>
    </row>
    <row r="18" spans="1:8" ht="48.75" customHeight="1">
      <c r="A18" s="7" t="s">
        <v>551</v>
      </c>
      <c r="B18" s="7" t="s">
        <v>73</v>
      </c>
      <c r="C18" s="7" t="s">
        <v>725</v>
      </c>
      <c r="D18" s="7">
        <v>5</v>
      </c>
      <c r="E18" s="7" t="s">
        <v>726</v>
      </c>
      <c r="F18" s="7" t="s">
        <v>545</v>
      </c>
      <c r="G18" s="7" t="s">
        <v>84</v>
      </c>
      <c r="H18" s="8" t="s">
        <v>85</v>
      </c>
    </row>
    <row r="19" spans="1:8" ht="48.75" customHeight="1">
      <c r="A19" s="7" t="s">
        <v>553</v>
      </c>
      <c r="B19" s="7" t="s">
        <v>73</v>
      </c>
      <c r="C19" s="7" t="s">
        <v>419</v>
      </c>
      <c r="D19" s="7" t="s">
        <v>439</v>
      </c>
      <c r="E19" s="7"/>
      <c r="F19" s="7" t="s">
        <v>545</v>
      </c>
      <c r="G19" s="7" t="s">
        <v>84</v>
      </c>
      <c r="H19" s="8" t="s">
        <v>85</v>
      </c>
    </row>
    <row r="20" spans="1:8" ht="48.75" customHeight="1">
      <c r="A20" s="7" t="s">
        <v>553</v>
      </c>
      <c r="B20" s="7" t="s">
        <v>73</v>
      </c>
      <c r="C20" s="7" t="s">
        <v>723</v>
      </c>
      <c r="D20" s="7">
        <v>3.8</v>
      </c>
      <c r="E20" s="7" t="s">
        <v>724</v>
      </c>
      <c r="F20" s="7" t="s">
        <v>545</v>
      </c>
      <c r="G20" s="7" t="s">
        <v>84</v>
      </c>
      <c r="H20" s="8" t="s">
        <v>85</v>
      </c>
    </row>
    <row r="21" spans="1:8" ht="48.75" customHeight="1">
      <c r="A21" s="7" t="s">
        <v>553</v>
      </c>
      <c r="B21" s="7" t="s">
        <v>73</v>
      </c>
      <c r="C21" s="7" t="s">
        <v>725</v>
      </c>
      <c r="D21" s="7">
        <v>5</v>
      </c>
      <c r="E21" s="7" t="s">
        <v>726</v>
      </c>
      <c r="F21" s="7" t="s">
        <v>545</v>
      </c>
      <c r="G21" s="7" t="s">
        <v>84</v>
      </c>
      <c r="H21" s="8" t="s">
        <v>85</v>
      </c>
    </row>
    <row r="22" spans="1:8" ht="48.75" customHeight="1">
      <c r="A22" s="7" t="s">
        <v>556</v>
      </c>
      <c r="B22" s="7" t="s">
        <v>73</v>
      </c>
      <c r="C22" s="7" t="s">
        <v>419</v>
      </c>
      <c r="D22" s="7" t="s">
        <v>439</v>
      </c>
      <c r="E22" s="7"/>
      <c r="F22" s="7" t="s">
        <v>545</v>
      </c>
      <c r="G22" s="7" t="s">
        <v>84</v>
      </c>
      <c r="H22" s="8" t="s">
        <v>85</v>
      </c>
    </row>
    <row r="23" spans="1:8" ht="48.75" customHeight="1">
      <c r="A23" s="7" t="s">
        <v>556</v>
      </c>
      <c r="B23" s="7" t="s">
        <v>73</v>
      </c>
      <c r="C23" s="7" t="s">
        <v>723</v>
      </c>
      <c r="D23" s="7">
        <v>3.8</v>
      </c>
      <c r="E23" s="7" t="s">
        <v>724</v>
      </c>
      <c r="F23" s="7" t="s">
        <v>545</v>
      </c>
      <c r="G23" s="7" t="s">
        <v>84</v>
      </c>
      <c r="H23" s="8" t="s">
        <v>85</v>
      </c>
    </row>
    <row r="24" spans="1:8" ht="48.75" customHeight="1">
      <c r="A24" s="7" t="s">
        <v>556</v>
      </c>
      <c r="B24" s="7" t="s">
        <v>73</v>
      </c>
      <c r="C24" s="7" t="s">
        <v>725</v>
      </c>
      <c r="D24" s="7">
        <v>5</v>
      </c>
      <c r="E24" s="7" t="s">
        <v>726</v>
      </c>
      <c r="F24" s="7" t="s">
        <v>545</v>
      </c>
      <c r="G24" s="7" t="s">
        <v>84</v>
      </c>
      <c r="H24" s="8" t="s">
        <v>85</v>
      </c>
    </row>
    <row r="25" spans="1:8" ht="48.75" customHeight="1">
      <c r="A25" s="7" t="s">
        <v>558</v>
      </c>
      <c r="B25" s="7" t="s">
        <v>73</v>
      </c>
      <c r="C25" s="7" t="s">
        <v>419</v>
      </c>
      <c r="D25" s="7" t="s">
        <v>425</v>
      </c>
      <c r="E25" s="7"/>
      <c r="F25" s="7" t="s">
        <v>545</v>
      </c>
      <c r="G25" s="7" t="s">
        <v>84</v>
      </c>
      <c r="H25" s="8" t="s">
        <v>85</v>
      </c>
    </row>
    <row r="26" spans="1:8" ht="48.75" customHeight="1">
      <c r="A26" s="7" t="s">
        <v>558</v>
      </c>
      <c r="B26" s="7" t="s">
        <v>73</v>
      </c>
      <c r="C26" s="7" t="s">
        <v>723</v>
      </c>
      <c r="D26" s="7">
        <v>3.9</v>
      </c>
      <c r="E26" s="7" t="s">
        <v>724</v>
      </c>
      <c r="F26" s="7" t="s">
        <v>545</v>
      </c>
      <c r="G26" s="7" t="s">
        <v>84</v>
      </c>
      <c r="H26" s="8" t="s">
        <v>85</v>
      </c>
    </row>
    <row r="27" spans="1:8" ht="48.75" customHeight="1">
      <c r="A27" s="7" t="s">
        <v>558</v>
      </c>
      <c r="B27" s="7" t="s">
        <v>73</v>
      </c>
      <c r="C27" s="7" t="s">
        <v>725</v>
      </c>
      <c r="D27" s="7">
        <v>4</v>
      </c>
      <c r="E27" s="7" t="s">
        <v>726</v>
      </c>
      <c r="F27" s="7" t="s">
        <v>545</v>
      </c>
      <c r="G27" s="7" t="s">
        <v>84</v>
      </c>
      <c r="H27" s="8" t="s">
        <v>85</v>
      </c>
    </row>
    <row r="28" spans="1:8" ht="48.75" customHeight="1">
      <c r="A28" s="7" t="s">
        <v>560</v>
      </c>
      <c r="B28" s="7" t="s">
        <v>73</v>
      </c>
      <c r="C28" s="7" t="s">
        <v>419</v>
      </c>
      <c r="D28" s="7" t="s">
        <v>425</v>
      </c>
      <c r="E28" s="7"/>
      <c r="F28" s="7" t="s">
        <v>545</v>
      </c>
      <c r="G28" s="7" t="s">
        <v>84</v>
      </c>
      <c r="H28" s="8" t="s">
        <v>85</v>
      </c>
    </row>
    <row r="29" spans="1:8" ht="48.75" customHeight="1">
      <c r="A29" s="7" t="s">
        <v>560</v>
      </c>
      <c r="B29" s="7" t="s">
        <v>73</v>
      </c>
      <c r="C29" s="7" t="s">
        <v>723</v>
      </c>
      <c r="D29" s="7">
        <v>3.9</v>
      </c>
      <c r="E29" s="7" t="s">
        <v>724</v>
      </c>
      <c r="F29" s="7" t="s">
        <v>545</v>
      </c>
      <c r="G29" s="7" t="s">
        <v>84</v>
      </c>
      <c r="H29" s="8" t="s">
        <v>85</v>
      </c>
    </row>
    <row r="30" spans="1:8" ht="48.75" customHeight="1">
      <c r="A30" s="7" t="s">
        <v>560</v>
      </c>
      <c r="B30" s="7" t="s">
        <v>73</v>
      </c>
      <c r="C30" s="7" t="s">
        <v>725</v>
      </c>
      <c r="D30" s="7">
        <v>4</v>
      </c>
      <c r="E30" s="7" t="s">
        <v>726</v>
      </c>
      <c r="F30" s="7" t="s">
        <v>545</v>
      </c>
      <c r="G30" s="7" t="s">
        <v>84</v>
      </c>
      <c r="H30" s="8" t="s">
        <v>85</v>
      </c>
    </row>
    <row r="31" spans="1:8" ht="48.75" customHeight="1">
      <c r="A31" s="7" t="s">
        <v>562</v>
      </c>
      <c r="B31" s="7" t="s">
        <v>73</v>
      </c>
      <c r="C31" s="7" t="s">
        <v>419</v>
      </c>
      <c r="D31" s="7" t="s">
        <v>431</v>
      </c>
      <c r="E31" s="7"/>
      <c r="F31" s="7" t="s">
        <v>545</v>
      </c>
      <c r="G31" s="7" t="s">
        <v>84</v>
      </c>
      <c r="H31" s="8" t="s">
        <v>85</v>
      </c>
    </row>
    <row r="32" spans="1:8" ht="48.75" customHeight="1">
      <c r="A32" s="7" t="s">
        <v>562</v>
      </c>
      <c r="B32" s="7" t="s">
        <v>73</v>
      </c>
      <c r="C32" s="7" t="s">
        <v>723</v>
      </c>
      <c r="D32" s="7">
        <v>3.4</v>
      </c>
      <c r="E32" s="7" t="s">
        <v>724</v>
      </c>
      <c r="F32" s="7" t="s">
        <v>545</v>
      </c>
      <c r="G32" s="7" t="s">
        <v>84</v>
      </c>
      <c r="H32" s="8" t="s">
        <v>85</v>
      </c>
    </row>
    <row r="33" spans="1:8" ht="48.75" customHeight="1">
      <c r="A33" s="7" t="s">
        <v>562</v>
      </c>
      <c r="B33" s="7" t="s">
        <v>73</v>
      </c>
      <c r="C33" s="7" t="s">
        <v>725</v>
      </c>
      <c r="D33" s="7">
        <v>4</v>
      </c>
      <c r="E33" s="7" t="s">
        <v>726</v>
      </c>
      <c r="F33" s="7" t="s">
        <v>545</v>
      </c>
      <c r="G33" s="7" t="s">
        <v>84</v>
      </c>
      <c r="H33" s="8" t="s">
        <v>85</v>
      </c>
    </row>
    <row r="34" spans="1:8" ht="48.75" customHeight="1">
      <c r="A34" s="7" t="s">
        <v>564</v>
      </c>
      <c r="B34" s="7" t="s">
        <v>73</v>
      </c>
      <c r="C34" s="7" t="s">
        <v>419</v>
      </c>
      <c r="D34" s="7" t="s">
        <v>431</v>
      </c>
      <c r="E34" s="7"/>
      <c r="F34" s="7" t="s">
        <v>545</v>
      </c>
      <c r="G34" s="7" t="s">
        <v>84</v>
      </c>
      <c r="H34" s="8" t="s">
        <v>85</v>
      </c>
    </row>
    <row r="35" spans="1:8" ht="48.75" customHeight="1">
      <c r="A35" s="7" t="s">
        <v>564</v>
      </c>
      <c r="B35" s="7" t="s">
        <v>73</v>
      </c>
      <c r="C35" s="7" t="s">
        <v>723</v>
      </c>
      <c r="D35" s="7">
        <v>3.4</v>
      </c>
      <c r="E35" s="7" t="s">
        <v>724</v>
      </c>
      <c r="F35" s="7" t="s">
        <v>545</v>
      </c>
      <c r="G35" s="7" t="s">
        <v>84</v>
      </c>
      <c r="H35" s="8" t="s">
        <v>85</v>
      </c>
    </row>
    <row r="36" spans="1:8" ht="48.75" customHeight="1">
      <c r="A36" s="7" t="s">
        <v>564</v>
      </c>
      <c r="B36" s="7" t="s">
        <v>73</v>
      </c>
      <c r="C36" s="7" t="s">
        <v>725</v>
      </c>
      <c r="D36" s="7">
        <v>4</v>
      </c>
      <c r="E36" s="7" t="s">
        <v>726</v>
      </c>
      <c r="F36" s="7" t="s">
        <v>545</v>
      </c>
      <c r="G36" s="7" t="s">
        <v>84</v>
      </c>
      <c r="H36" s="8" t="s">
        <v>85</v>
      </c>
    </row>
    <row r="37" spans="1:8" ht="48.75" customHeight="1">
      <c r="A37" s="7" t="s">
        <v>566</v>
      </c>
      <c r="B37" s="7" t="s">
        <v>73</v>
      </c>
      <c r="C37" s="7" t="s">
        <v>419</v>
      </c>
      <c r="D37" s="7" t="s">
        <v>433</v>
      </c>
      <c r="E37" s="7"/>
      <c r="F37" s="7" t="s">
        <v>545</v>
      </c>
      <c r="G37" s="7" t="s">
        <v>84</v>
      </c>
      <c r="H37" s="8" t="s">
        <v>85</v>
      </c>
    </row>
    <row r="38" spans="1:8" ht="48.75" customHeight="1">
      <c r="A38" s="7" t="s">
        <v>566</v>
      </c>
      <c r="B38" s="7" t="s">
        <v>73</v>
      </c>
      <c r="C38" s="7" t="s">
        <v>723</v>
      </c>
      <c r="D38" s="7">
        <v>3.8</v>
      </c>
      <c r="E38" s="7" t="s">
        <v>724</v>
      </c>
      <c r="F38" s="7" t="s">
        <v>545</v>
      </c>
      <c r="G38" s="7" t="s">
        <v>84</v>
      </c>
      <c r="H38" s="8" t="s">
        <v>85</v>
      </c>
    </row>
    <row r="39" spans="1:8" ht="48.75" customHeight="1">
      <c r="A39" s="7" t="s">
        <v>566</v>
      </c>
      <c r="B39" s="7" t="s">
        <v>73</v>
      </c>
      <c r="C39" s="7" t="s">
        <v>725</v>
      </c>
      <c r="D39" s="7">
        <v>4</v>
      </c>
      <c r="E39" s="7" t="s">
        <v>726</v>
      </c>
      <c r="F39" s="7" t="s">
        <v>545</v>
      </c>
      <c r="G39" s="7" t="s">
        <v>84</v>
      </c>
      <c r="H39" s="8" t="s">
        <v>85</v>
      </c>
    </row>
    <row r="40" spans="1:8" ht="48.75" customHeight="1">
      <c r="A40" s="7" t="s">
        <v>568</v>
      </c>
      <c r="B40" s="7" t="s">
        <v>73</v>
      </c>
      <c r="C40" s="7" t="s">
        <v>419</v>
      </c>
      <c r="D40" s="7" t="s">
        <v>433</v>
      </c>
      <c r="E40" s="7"/>
      <c r="F40" s="7" t="s">
        <v>545</v>
      </c>
      <c r="G40" s="7" t="s">
        <v>84</v>
      </c>
      <c r="H40" s="8" t="s">
        <v>85</v>
      </c>
    </row>
    <row r="41" spans="1:8" ht="48.75" customHeight="1">
      <c r="A41" s="7" t="s">
        <v>568</v>
      </c>
      <c r="B41" s="7" t="s">
        <v>73</v>
      </c>
      <c r="C41" s="7" t="s">
        <v>723</v>
      </c>
      <c r="D41" s="7">
        <v>3.8</v>
      </c>
      <c r="E41" s="7" t="s">
        <v>724</v>
      </c>
      <c r="F41" s="7" t="s">
        <v>545</v>
      </c>
      <c r="G41" s="7" t="s">
        <v>84</v>
      </c>
      <c r="H41" s="8" t="s">
        <v>85</v>
      </c>
    </row>
    <row r="42" spans="1:8" ht="48.75" customHeight="1">
      <c r="A42" s="7" t="s">
        <v>568</v>
      </c>
      <c r="B42" s="7" t="s">
        <v>73</v>
      </c>
      <c r="C42" s="7" t="s">
        <v>725</v>
      </c>
      <c r="D42" s="7">
        <v>4</v>
      </c>
      <c r="E42" s="7" t="s">
        <v>726</v>
      </c>
      <c r="F42" s="7" t="s">
        <v>545</v>
      </c>
      <c r="G42" s="7" t="s">
        <v>84</v>
      </c>
      <c r="H42" s="8" t="s">
        <v>85</v>
      </c>
    </row>
    <row r="43" spans="1:8" ht="48.75" customHeight="1">
      <c r="A43" s="7" t="s">
        <v>570</v>
      </c>
      <c r="B43" s="7" t="s">
        <v>73</v>
      </c>
      <c r="C43" s="7" t="s">
        <v>419</v>
      </c>
      <c r="D43" s="7" t="s">
        <v>727</v>
      </c>
      <c r="E43" s="7"/>
      <c r="F43" s="7" t="s">
        <v>545</v>
      </c>
      <c r="G43" s="7" t="s">
        <v>84</v>
      </c>
      <c r="H43" s="8" t="s">
        <v>85</v>
      </c>
    </row>
    <row r="44" spans="1:8" ht="48.75" customHeight="1">
      <c r="A44" s="7" t="s">
        <v>570</v>
      </c>
      <c r="B44" s="7" t="s">
        <v>73</v>
      </c>
      <c r="C44" s="7" t="s">
        <v>723</v>
      </c>
      <c r="D44" s="7">
        <v>3.6</v>
      </c>
      <c r="E44" s="7" t="s">
        <v>724</v>
      </c>
      <c r="F44" s="7" t="s">
        <v>545</v>
      </c>
      <c r="G44" s="7" t="s">
        <v>84</v>
      </c>
      <c r="H44" s="8" t="s">
        <v>85</v>
      </c>
    </row>
    <row r="45" spans="1:8" ht="48.75" customHeight="1">
      <c r="A45" s="7" t="s">
        <v>570</v>
      </c>
      <c r="B45" s="7" t="s">
        <v>73</v>
      </c>
      <c r="C45" s="7" t="s">
        <v>725</v>
      </c>
      <c r="D45" s="7">
        <v>4</v>
      </c>
      <c r="E45" s="7" t="s">
        <v>726</v>
      </c>
      <c r="F45" s="7" t="s">
        <v>545</v>
      </c>
      <c r="G45" s="7" t="s">
        <v>84</v>
      </c>
      <c r="H45" s="8" t="s">
        <v>85</v>
      </c>
    </row>
    <row r="46" spans="1:8" ht="48.75" customHeight="1">
      <c r="A46" s="7" t="s">
        <v>573</v>
      </c>
      <c r="B46" s="7" t="s">
        <v>73</v>
      </c>
      <c r="C46" s="7" t="s">
        <v>419</v>
      </c>
      <c r="D46" s="7" t="s">
        <v>727</v>
      </c>
      <c r="E46" s="7"/>
      <c r="F46" s="7" t="s">
        <v>545</v>
      </c>
      <c r="G46" s="7" t="s">
        <v>84</v>
      </c>
      <c r="H46" s="8" t="s">
        <v>85</v>
      </c>
    </row>
    <row r="47" spans="1:8" ht="48.75" customHeight="1">
      <c r="A47" s="7" t="s">
        <v>573</v>
      </c>
      <c r="B47" s="7" t="s">
        <v>73</v>
      </c>
      <c r="C47" s="7" t="s">
        <v>723</v>
      </c>
      <c r="D47" s="7">
        <v>3.6</v>
      </c>
      <c r="E47" s="7" t="s">
        <v>724</v>
      </c>
      <c r="F47" s="7" t="s">
        <v>545</v>
      </c>
      <c r="G47" s="7" t="s">
        <v>84</v>
      </c>
      <c r="H47" s="8" t="s">
        <v>85</v>
      </c>
    </row>
    <row r="48" spans="1:8" ht="48.75" customHeight="1">
      <c r="A48" s="7" t="s">
        <v>573</v>
      </c>
      <c r="B48" s="7" t="s">
        <v>73</v>
      </c>
      <c r="C48" s="7" t="s">
        <v>725</v>
      </c>
      <c r="D48" s="7">
        <v>4</v>
      </c>
      <c r="E48" s="7" t="s">
        <v>726</v>
      </c>
      <c r="F48" s="7" t="s">
        <v>545</v>
      </c>
      <c r="G48" s="7" t="s">
        <v>84</v>
      </c>
      <c r="H48" s="8" t="s">
        <v>85</v>
      </c>
    </row>
    <row r="49" spans="1:8" ht="48.75" customHeight="1">
      <c r="A49" s="7" t="s">
        <v>575</v>
      </c>
      <c r="B49" s="7" t="s">
        <v>28</v>
      </c>
      <c r="C49" s="7" t="s">
        <v>728</v>
      </c>
      <c r="D49" s="7">
        <v>1420</v>
      </c>
      <c r="E49" s="7" t="s">
        <v>729</v>
      </c>
      <c r="F49" s="7" t="s">
        <v>579</v>
      </c>
      <c r="G49" s="7" t="s">
        <v>45</v>
      </c>
      <c r="H49" s="8" t="s">
        <v>46</v>
      </c>
    </row>
    <row r="50" spans="1:8" ht="48.75" customHeight="1">
      <c r="A50" s="7" t="s">
        <v>581</v>
      </c>
      <c r="B50" s="7" t="s">
        <v>28</v>
      </c>
      <c r="C50" s="7" t="s">
        <v>728</v>
      </c>
      <c r="D50" s="7">
        <v>1136</v>
      </c>
      <c r="E50" s="7" t="s">
        <v>729</v>
      </c>
      <c r="F50" s="7" t="s">
        <v>579</v>
      </c>
      <c r="G50" s="7" t="s">
        <v>45</v>
      </c>
      <c r="H50" s="8" t="s">
        <v>46</v>
      </c>
    </row>
    <row r="51" spans="1:8" ht="48.75" customHeight="1">
      <c r="A51" s="7" t="s">
        <v>584</v>
      </c>
      <c r="B51" s="7" t="s">
        <v>28</v>
      </c>
      <c r="C51" s="7" t="s">
        <v>728</v>
      </c>
      <c r="D51" s="7">
        <v>1420</v>
      </c>
      <c r="E51" s="7" t="s">
        <v>729</v>
      </c>
      <c r="F51" s="7" t="s">
        <v>586</v>
      </c>
      <c r="G51" s="7" t="s">
        <v>45</v>
      </c>
      <c r="H51" s="8" t="s">
        <v>46</v>
      </c>
    </row>
    <row r="52" spans="1:8" ht="48.75" customHeight="1">
      <c r="A52" s="7" t="s">
        <v>587</v>
      </c>
      <c r="B52" s="7" t="s">
        <v>28</v>
      </c>
      <c r="C52" s="7" t="s">
        <v>728</v>
      </c>
      <c r="D52" s="7">
        <v>1704</v>
      </c>
      <c r="E52" s="7" t="s">
        <v>729</v>
      </c>
      <c r="F52" s="7" t="s">
        <v>586</v>
      </c>
      <c r="G52" s="7" t="s">
        <v>45</v>
      </c>
      <c r="H52" s="8" t="s">
        <v>46</v>
      </c>
    </row>
    <row r="53" spans="1:8" ht="48.75" customHeight="1">
      <c r="A53" s="7" t="s">
        <v>589</v>
      </c>
      <c r="B53" s="7" t="s">
        <v>28</v>
      </c>
      <c r="C53" s="7" t="s">
        <v>728</v>
      </c>
      <c r="D53" s="7">
        <v>1988</v>
      </c>
      <c r="E53" s="7" t="s">
        <v>729</v>
      </c>
      <c r="F53" s="7" t="s">
        <v>586</v>
      </c>
      <c r="G53" s="7" t="s">
        <v>45</v>
      </c>
      <c r="H53" s="8" t="s">
        <v>46</v>
      </c>
    </row>
    <row r="54" spans="1:8" ht="48.75" customHeight="1">
      <c r="A54" s="7" t="s">
        <v>591</v>
      </c>
      <c r="B54" s="7" t="s">
        <v>28</v>
      </c>
      <c r="C54" s="7" t="s">
        <v>728</v>
      </c>
      <c r="D54" s="7">
        <v>2550</v>
      </c>
      <c r="E54" s="7" t="s">
        <v>729</v>
      </c>
      <c r="F54" s="7" t="s">
        <v>579</v>
      </c>
      <c r="G54" s="7" t="s">
        <v>45</v>
      </c>
      <c r="H54" s="8" t="s">
        <v>46</v>
      </c>
    </row>
    <row r="55" spans="1:8" ht="48.75" customHeight="1">
      <c r="A55" s="7" t="s">
        <v>594</v>
      </c>
      <c r="B55" s="7" t="s">
        <v>28</v>
      </c>
      <c r="C55" s="7" t="s">
        <v>728</v>
      </c>
      <c r="D55" s="7">
        <v>1420</v>
      </c>
      <c r="E55" s="7" t="s">
        <v>729</v>
      </c>
      <c r="F55" s="7" t="s">
        <v>579</v>
      </c>
      <c r="G55" s="7" t="s">
        <v>45</v>
      </c>
      <c r="H55" s="8" t="s">
        <v>46</v>
      </c>
    </row>
    <row r="56" spans="1:8" ht="48.75" customHeight="1">
      <c r="A56" s="7" t="s">
        <v>596</v>
      </c>
      <c r="B56" s="7" t="s">
        <v>28</v>
      </c>
      <c r="C56" s="7" t="s">
        <v>728</v>
      </c>
      <c r="D56" s="7">
        <v>1704</v>
      </c>
      <c r="E56" s="7" t="s">
        <v>729</v>
      </c>
      <c r="F56" s="7" t="s">
        <v>579</v>
      </c>
      <c r="G56" s="7" t="s">
        <v>45</v>
      </c>
      <c r="H56" s="8" t="s">
        <v>46</v>
      </c>
    </row>
    <row r="57" spans="1:8" ht="48.75" customHeight="1">
      <c r="A57" s="7" t="s">
        <v>598</v>
      </c>
      <c r="B57" s="7" t="s">
        <v>28</v>
      </c>
      <c r="C57" s="7" t="s">
        <v>728</v>
      </c>
      <c r="D57" s="7">
        <v>3408</v>
      </c>
      <c r="E57" s="7" t="s">
        <v>729</v>
      </c>
      <c r="F57" s="7" t="s">
        <v>601</v>
      </c>
      <c r="G57" s="7" t="s">
        <v>45</v>
      </c>
      <c r="H57" s="8" t="s">
        <v>46</v>
      </c>
    </row>
    <row r="58" spans="1:8" ht="48.75" customHeight="1">
      <c r="A58" s="7" t="s">
        <v>602</v>
      </c>
      <c r="B58" s="7" t="s">
        <v>28</v>
      </c>
      <c r="C58" s="7" t="s">
        <v>728</v>
      </c>
      <c r="D58" s="7">
        <v>3570</v>
      </c>
      <c r="E58" s="7" t="s">
        <v>729</v>
      </c>
      <c r="F58" s="7" t="s">
        <v>579</v>
      </c>
      <c r="G58" s="7" t="s">
        <v>45</v>
      </c>
      <c r="H58" s="8" t="s">
        <v>46</v>
      </c>
    </row>
    <row r="59" spans="1:8" ht="48.75" customHeight="1">
      <c r="A59" s="7" t="s">
        <v>604</v>
      </c>
      <c r="B59" s="7" t="s">
        <v>28</v>
      </c>
      <c r="C59" s="7" t="s">
        <v>728</v>
      </c>
      <c r="D59" s="7">
        <v>1420</v>
      </c>
      <c r="E59" s="7" t="s">
        <v>729</v>
      </c>
      <c r="F59" s="7" t="s">
        <v>579</v>
      </c>
      <c r="G59" s="7" t="s">
        <v>45</v>
      </c>
      <c r="H59" s="8" t="s">
        <v>46</v>
      </c>
    </row>
    <row r="60" spans="1:8" ht="48.75" customHeight="1">
      <c r="A60" s="7" t="s">
        <v>607</v>
      </c>
      <c r="B60" s="7" t="s">
        <v>28</v>
      </c>
      <c r="C60" s="7" t="s">
        <v>728</v>
      </c>
      <c r="D60" s="7">
        <v>1420</v>
      </c>
      <c r="E60" s="7" t="s">
        <v>729</v>
      </c>
      <c r="F60" s="7" t="s">
        <v>579</v>
      </c>
      <c r="G60" s="7" t="s">
        <v>45</v>
      </c>
      <c r="H60" s="8" t="s">
        <v>46</v>
      </c>
    </row>
    <row r="61" spans="1:8" ht="48.75" customHeight="1">
      <c r="A61" s="7" t="s">
        <v>609</v>
      </c>
      <c r="B61" s="7" t="s">
        <v>28</v>
      </c>
      <c r="C61" s="7" t="s">
        <v>728</v>
      </c>
      <c r="D61" s="7">
        <v>645</v>
      </c>
      <c r="E61" s="7" t="s">
        <v>729</v>
      </c>
      <c r="F61" s="7" t="s">
        <v>579</v>
      </c>
      <c r="G61" s="7" t="s">
        <v>45</v>
      </c>
      <c r="H61" s="8" t="s">
        <v>46</v>
      </c>
    </row>
    <row r="62" spans="1:8" ht="48.75" customHeight="1">
      <c r="A62" s="7" t="s">
        <v>611</v>
      </c>
      <c r="B62" s="7" t="s">
        <v>28</v>
      </c>
      <c r="C62" s="7" t="s">
        <v>728</v>
      </c>
      <c r="D62" s="7">
        <v>774</v>
      </c>
      <c r="E62" s="7" t="s">
        <v>729</v>
      </c>
      <c r="F62" s="7" t="s">
        <v>579</v>
      </c>
      <c r="G62" s="7" t="s">
        <v>45</v>
      </c>
      <c r="H62" s="8" t="s">
        <v>46</v>
      </c>
    </row>
    <row r="63" spans="1:8" ht="48.75" customHeight="1">
      <c r="A63" s="7" t="s">
        <v>613</v>
      </c>
      <c r="B63" s="7" t="s">
        <v>28</v>
      </c>
      <c r="C63" s="7" t="s">
        <v>728</v>
      </c>
      <c r="D63" s="7">
        <v>903</v>
      </c>
      <c r="E63" s="7" t="s">
        <v>729</v>
      </c>
      <c r="F63" s="7" t="s">
        <v>579</v>
      </c>
      <c r="G63" s="7" t="s">
        <v>45</v>
      </c>
      <c r="H63" s="8" t="s">
        <v>46</v>
      </c>
    </row>
    <row r="64" spans="1:8" ht="48.75" customHeight="1">
      <c r="A64" s="7" t="s">
        <v>615</v>
      </c>
      <c r="B64" s="7" t="s">
        <v>28</v>
      </c>
      <c r="C64" s="7" t="s">
        <v>728</v>
      </c>
      <c r="D64" s="7">
        <v>1032</v>
      </c>
      <c r="E64" s="7" t="s">
        <v>729</v>
      </c>
      <c r="F64" s="7" t="s">
        <v>579</v>
      </c>
      <c r="G64" s="7" t="s">
        <v>45</v>
      </c>
      <c r="H64" s="8" t="s">
        <v>46</v>
      </c>
    </row>
    <row r="65" spans="1:8" ht="48.75" customHeight="1">
      <c r="A65" s="7" t="s">
        <v>618</v>
      </c>
      <c r="B65" s="7" t="s">
        <v>28</v>
      </c>
      <c r="C65" s="7" t="s">
        <v>728</v>
      </c>
      <c r="D65" s="7">
        <v>1194</v>
      </c>
      <c r="E65" s="7" t="s">
        <v>729</v>
      </c>
      <c r="F65" s="7" t="s">
        <v>579</v>
      </c>
      <c r="G65" s="7" t="s">
        <v>45</v>
      </c>
      <c r="H65" s="8" t="s">
        <v>46</v>
      </c>
    </row>
    <row r="66" spans="1:8" ht="48.75" customHeight="1">
      <c r="A66" s="7" t="s">
        <v>620</v>
      </c>
      <c r="B66" s="7" t="s">
        <v>28</v>
      </c>
      <c r="C66" s="7" t="s">
        <v>728</v>
      </c>
      <c r="D66" s="7">
        <v>1393</v>
      </c>
      <c r="E66" s="7" t="s">
        <v>729</v>
      </c>
      <c r="F66" s="7" t="s">
        <v>579</v>
      </c>
      <c r="G66" s="7" t="s">
        <v>45</v>
      </c>
      <c r="H66" s="8" t="s">
        <v>46</v>
      </c>
    </row>
    <row r="67" spans="1:8" ht="48.75" customHeight="1">
      <c r="A67" s="7" t="s">
        <v>622</v>
      </c>
      <c r="B67" s="7" t="s">
        <v>28</v>
      </c>
      <c r="C67" s="7" t="s">
        <v>728</v>
      </c>
      <c r="D67" s="7">
        <v>1592</v>
      </c>
      <c r="E67" s="7" t="s">
        <v>729</v>
      </c>
      <c r="F67" s="7" t="s">
        <v>579</v>
      </c>
      <c r="G67" s="7" t="s">
        <v>45</v>
      </c>
      <c r="H67" s="8" t="s">
        <v>46</v>
      </c>
    </row>
    <row r="68" spans="1:8" ht="48.75" customHeight="1">
      <c r="A68" s="7" t="s">
        <v>624</v>
      </c>
      <c r="B68" s="7" t="s">
        <v>28</v>
      </c>
      <c r="C68" s="7" t="s">
        <v>728</v>
      </c>
      <c r="D68" s="7">
        <v>903</v>
      </c>
      <c r="E68" s="7" t="s">
        <v>729</v>
      </c>
      <c r="F68" s="7" t="s">
        <v>626</v>
      </c>
      <c r="G68" s="7" t="s">
        <v>45</v>
      </c>
      <c r="H68" s="8" t="s">
        <v>46</v>
      </c>
    </row>
    <row r="69" spans="1:8" ht="48.75" customHeight="1">
      <c r="A69" s="7" t="s">
        <v>627</v>
      </c>
      <c r="B69" s="7" t="s">
        <v>28</v>
      </c>
      <c r="C69" s="7" t="s">
        <v>728</v>
      </c>
      <c r="D69" s="7">
        <v>903</v>
      </c>
      <c r="E69" s="7" t="s">
        <v>729</v>
      </c>
      <c r="F69" s="7" t="s">
        <v>579</v>
      </c>
      <c r="G69" s="7" t="s">
        <v>45</v>
      </c>
      <c r="H69" s="8" t="s">
        <v>46</v>
      </c>
    </row>
    <row r="70" spans="1:8" ht="48.75" customHeight="1">
      <c r="A70" s="7" t="s">
        <v>629</v>
      </c>
      <c r="B70" s="7" t="s">
        <v>28</v>
      </c>
      <c r="C70" s="7" t="s">
        <v>728</v>
      </c>
      <c r="D70" s="7">
        <v>1500</v>
      </c>
      <c r="E70" s="7" t="s">
        <v>729</v>
      </c>
      <c r="F70" s="7" t="s">
        <v>579</v>
      </c>
      <c r="G70" s="7" t="s">
        <v>45</v>
      </c>
      <c r="H70" s="8" t="s">
        <v>46</v>
      </c>
    </row>
    <row r="71" spans="1:8" ht="35.25" customHeight="1">
      <c r="A71" s="7" t="s">
        <v>632</v>
      </c>
      <c r="B71" s="7" t="s">
        <v>278</v>
      </c>
      <c r="C71" s="7" t="s">
        <v>725</v>
      </c>
      <c r="D71" s="7">
        <v>5</v>
      </c>
      <c r="E71" s="7" t="s">
        <v>726</v>
      </c>
      <c r="F71" s="7"/>
      <c r="G71" s="7" t="s">
        <v>288</v>
      </c>
      <c r="H71" s="8" t="s">
        <v>639</v>
      </c>
    </row>
    <row r="72" spans="1:8" ht="35.25" customHeight="1">
      <c r="A72" s="7" t="s">
        <v>640</v>
      </c>
      <c r="B72" s="7" t="s">
        <v>278</v>
      </c>
      <c r="C72" s="7" t="s">
        <v>725</v>
      </c>
      <c r="D72" s="7">
        <v>4</v>
      </c>
      <c r="E72" s="7" t="s">
        <v>726</v>
      </c>
      <c r="F72" s="7"/>
      <c r="G72" s="7" t="s">
        <v>288</v>
      </c>
      <c r="H72" s="8" t="s">
        <v>639</v>
      </c>
    </row>
    <row r="73" spans="1:8" ht="35.25" customHeight="1">
      <c r="A73" s="7" t="s">
        <v>644</v>
      </c>
      <c r="B73" s="7" t="s">
        <v>278</v>
      </c>
      <c r="C73" s="7" t="s">
        <v>725</v>
      </c>
      <c r="D73" s="7">
        <v>4</v>
      </c>
      <c r="E73" s="7" t="s">
        <v>726</v>
      </c>
      <c r="F73" s="7"/>
      <c r="G73" s="7" t="s">
        <v>288</v>
      </c>
      <c r="H73" s="8" t="s">
        <v>639</v>
      </c>
    </row>
    <row r="74" spans="1:8" ht="35.25" customHeight="1">
      <c r="A74" s="7" t="s">
        <v>647</v>
      </c>
      <c r="B74" s="7" t="s">
        <v>278</v>
      </c>
      <c r="C74" s="7" t="s">
        <v>725</v>
      </c>
      <c r="D74" s="7">
        <v>5</v>
      </c>
      <c r="E74" s="7" t="s">
        <v>726</v>
      </c>
      <c r="F74" s="7"/>
      <c r="G74" s="7" t="s">
        <v>288</v>
      </c>
      <c r="H74" s="8" t="s">
        <v>639</v>
      </c>
    </row>
    <row r="75" spans="1:8" ht="35.25" customHeight="1">
      <c r="A75" s="7" t="s">
        <v>650</v>
      </c>
      <c r="B75" s="7" t="s">
        <v>278</v>
      </c>
      <c r="C75" s="7" t="s">
        <v>725</v>
      </c>
      <c r="D75" s="7">
        <v>6</v>
      </c>
      <c r="E75" s="7" t="s">
        <v>726</v>
      </c>
      <c r="F75" s="7"/>
      <c r="G75" s="7" t="s">
        <v>288</v>
      </c>
      <c r="H75" s="8" t="s">
        <v>639</v>
      </c>
    </row>
    <row r="76" spans="1:8" ht="35.25" customHeight="1">
      <c r="A76" s="7" t="s">
        <v>653</v>
      </c>
      <c r="B76" s="7" t="s">
        <v>278</v>
      </c>
      <c r="C76" s="7" t="s">
        <v>725</v>
      </c>
      <c r="D76" s="7">
        <v>5</v>
      </c>
      <c r="E76" s="7" t="s">
        <v>726</v>
      </c>
      <c r="F76" s="7"/>
      <c r="G76" s="7" t="s">
        <v>288</v>
      </c>
      <c r="H76" s="8" t="s">
        <v>639</v>
      </c>
    </row>
    <row r="77" spans="1:8" ht="35.25" customHeight="1">
      <c r="A77" s="7" t="s">
        <v>655</v>
      </c>
      <c r="B77" s="7" t="s">
        <v>278</v>
      </c>
      <c r="C77" s="7" t="s">
        <v>725</v>
      </c>
      <c r="D77" s="7">
        <v>6</v>
      </c>
      <c r="E77" s="7" t="s">
        <v>726</v>
      </c>
      <c r="F77" s="7"/>
      <c r="G77" s="7" t="s">
        <v>288</v>
      </c>
      <c r="H77" s="8" t="s">
        <v>639</v>
      </c>
    </row>
    <row r="78" spans="1:8" ht="35.25" customHeight="1">
      <c r="A78" s="7" t="s">
        <v>657</v>
      </c>
      <c r="B78" s="7" t="s">
        <v>278</v>
      </c>
      <c r="C78" s="7" t="s">
        <v>725</v>
      </c>
      <c r="D78" s="7">
        <v>6</v>
      </c>
      <c r="E78" s="7" t="s">
        <v>726</v>
      </c>
      <c r="F78" s="7"/>
      <c r="G78" s="7" t="s">
        <v>288</v>
      </c>
      <c r="H78" s="8" t="s">
        <v>639</v>
      </c>
    </row>
    <row r="79" spans="1:8" ht="35.25" customHeight="1">
      <c r="A79" s="7" t="s">
        <v>682</v>
      </c>
      <c r="B79" s="7" t="s">
        <v>252</v>
      </c>
      <c r="C79" s="7" t="s">
        <v>730</v>
      </c>
      <c r="D79" s="7">
        <v>3050</v>
      </c>
      <c r="E79" s="7" t="s">
        <v>731</v>
      </c>
      <c r="F79" s="7" t="s">
        <v>688</v>
      </c>
      <c r="G79" s="7" t="s">
        <v>690</v>
      </c>
      <c r="H79" s="8" t="s">
        <v>691</v>
      </c>
    </row>
    <row r="80" spans="1:8" ht="35.25" customHeight="1">
      <c r="A80" s="7" t="s">
        <v>682</v>
      </c>
      <c r="B80" s="7" t="s">
        <v>252</v>
      </c>
      <c r="C80" s="7" t="s">
        <v>732</v>
      </c>
      <c r="D80" s="7">
        <v>3810</v>
      </c>
      <c r="E80" s="7" t="s">
        <v>731</v>
      </c>
      <c r="F80" s="7" t="s">
        <v>688</v>
      </c>
      <c r="G80" s="7" t="s">
        <v>690</v>
      </c>
      <c r="H80" s="8" t="s">
        <v>691</v>
      </c>
    </row>
    <row r="81" spans="1:8" ht="35.25" customHeight="1">
      <c r="A81" s="7" t="s">
        <v>692</v>
      </c>
      <c r="B81" s="7" t="s">
        <v>252</v>
      </c>
      <c r="C81" s="7" t="s">
        <v>730</v>
      </c>
      <c r="D81" s="7">
        <v>3050</v>
      </c>
      <c r="E81" s="7" t="s">
        <v>731</v>
      </c>
      <c r="F81" s="7"/>
      <c r="G81" s="7" t="s">
        <v>690</v>
      </c>
      <c r="H81" s="8" t="s">
        <v>691</v>
      </c>
    </row>
    <row r="82" spans="1:8" ht="35.25" customHeight="1">
      <c r="A82" s="7" t="s">
        <v>692</v>
      </c>
      <c r="B82" s="7" t="s">
        <v>252</v>
      </c>
      <c r="C82" s="7" t="s">
        <v>732</v>
      </c>
      <c r="D82" s="7">
        <v>3810</v>
      </c>
      <c r="E82" s="7" t="s">
        <v>731</v>
      </c>
      <c r="F82" s="7"/>
      <c r="G82" s="7" t="s">
        <v>690</v>
      </c>
      <c r="H82" s="8" t="s">
        <v>691</v>
      </c>
    </row>
    <row r="83" spans="1:8" ht="48.75" customHeight="1">
      <c r="A83" s="7" t="s">
        <v>696</v>
      </c>
      <c r="B83" s="7" t="s">
        <v>106</v>
      </c>
      <c r="C83" s="7" t="s">
        <v>733</v>
      </c>
      <c r="D83" s="7">
        <v>43900</v>
      </c>
      <c r="E83" s="7" t="s">
        <v>731</v>
      </c>
      <c r="F83" s="7" t="s">
        <v>734</v>
      </c>
      <c r="G83" s="7" t="s">
        <v>702</v>
      </c>
      <c r="H83" s="8" t="s">
        <v>703</v>
      </c>
    </row>
    <row r="84" spans="1:8" ht="48.75" customHeight="1">
      <c r="A84" s="7" t="s">
        <v>696</v>
      </c>
      <c r="B84" s="7" t="s">
        <v>106</v>
      </c>
      <c r="C84" s="7" t="s">
        <v>730</v>
      </c>
      <c r="D84" s="7">
        <v>2360</v>
      </c>
      <c r="E84" s="7" t="s">
        <v>731</v>
      </c>
      <c r="F84" s="7" t="s">
        <v>734</v>
      </c>
      <c r="G84" s="7" t="s">
        <v>702</v>
      </c>
      <c r="H84" s="8" t="s">
        <v>703</v>
      </c>
    </row>
    <row r="85" spans="1:8" ht="48.75" customHeight="1">
      <c r="A85" s="7" t="s">
        <v>696</v>
      </c>
      <c r="B85" s="7" t="s">
        <v>106</v>
      </c>
      <c r="C85" s="7" t="s">
        <v>735</v>
      </c>
      <c r="D85" s="7">
        <v>5</v>
      </c>
      <c r="E85" s="7" t="s">
        <v>736</v>
      </c>
      <c r="F85" s="7" t="s">
        <v>734</v>
      </c>
      <c r="G85" s="7" t="s">
        <v>702</v>
      </c>
      <c r="H85" s="8" t="s">
        <v>703</v>
      </c>
    </row>
    <row r="86" spans="1:8" ht="48.75" customHeight="1">
      <c r="A86" s="7" t="s">
        <v>696</v>
      </c>
      <c r="B86" s="7" t="s">
        <v>106</v>
      </c>
      <c r="C86" s="7" t="s">
        <v>737</v>
      </c>
      <c r="D86" s="7">
        <v>915</v>
      </c>
      <c r="E86" s="7" t="s">
        <v>731</v>
      </c>
      <c r="F86" s="7" t="s">
        <v>734</v>
      </c>
      <c r="G86" s="7" t="s">
        <v>702</v>
      </c>
      <c r="H86" s="8" t="s">
        <v>703</v>
      </c>
    </row>
    <row r="87" spans="1:8" ht="48.75" customHeight="1">
      <c r="A87" s="7" t="s">
        <v>696</v>
      </c>
      <c r="B87" s="7" t="s">
        <v>106</v>
      </c>
      <c r="C87" s="7" t="s">
        <v>738</v>
      </c>
      <c r="D87" s="7">
        <v>275</v>
      </c>
      <c r="E87" s="7" t="s">
        <v>729</v>
      </c>
      <c r="F87" s="7" t="s">
        <v>734</v>
      </c>
      <c r="G87" s="7" t="s">
        <v>702</v>
      </c>
      <c r="H87" s="8" t="s">
        <v>703</v>
      </c>
    </row>
    <row r="88" spans="1:8" ht="48.75" customHeight="1">
      <c r="A88" s="7" t="s">
        <v>696</v>
      </c>
      <c r="B88" s="7" t="s">
        <v>106</v>
      </c>
      <c r="C88" s="7" t="s">
        <v>739</v>
      </c>
      <c r="D88" s="7">
        <v>1</v>
      </c>
      <c r="E88" s="7" t="s">
        <v>740</v>
      </c>
      <c r="F88" s="7" t="s">
        <v>734</v>
      </c>
      <c r="G88" s="7" t="s">
        <v>702</v>
      </c>
      <c r="H88" s="8" t="s">
        <v>703</v>
      </c>
    </row>
    <row r="89" spans="1:8" ht="48.75" customHeight="1">
      <c r="A89" s="7" t="s">
        <v>696</v>
      </c>
      <c r="B89" s="7" t="s">
        <v>106</v>
      </c>
      <c r="C89" s="7" t="s">
        <v>741</v>
      </c>
      <c r="D89" s="7">
        <v>24</v>
      </c>
      <c r="E89" s="7" t="s">
        <v>724</v>
      </c>
      <c r="F89" s="7" t="s">
        <v>734</v>
      </c>
      <c r="G89" s="7" t="s">
        <v>702</v>
      </c>
      <c r="H89" s="8" t="s">
        <v>703</v>
      </c>
    </row>
    <row r="90" spans="1:8" ht="48.75" customHeight="1">
      <c r="A90" s="7" t="s">
        <v>696</v>
      </c>
      <c r="B90" s="7" t="s">
        <v>106</v>
      </c>
      <c r="C90" s="7" t="s">
        <v>742</v>
      </c>
      <c r="D90" s="7">
        <v>1.49</v>
      </c>
      <c r="E90" s="7" t="s">
        <v>743</v>
      </c>
      <c r="F90" s="7" t="s">
        <v>734</v>
      </c>
      <c r="G90" s="7" t="s">
        <v>702</v>
      </c>
      <c r="H90" s="8" t="s">
        <v>703</v>
      </c>
    </row>
    <row r="91" spans="1:8" ht="48.75" customHeight="1">
      <c r="A91" s="7" t="s">
        <v>696</v>
      </c>
      <c r="B91" s="7" t="s">
        <v>106</v>
      </c>
      <c r="C91" s="7" t="s">
        <v>744</v>
      </c>
      <c r="D91" s="7">
        <v>100</v>
      </c>
      <c r="E91" s="7" t="s">
        <v>731</v>
      </c>
      <c r="F91" s="7" t="s">
        <v>734</v>
      </c>
      <c r="G91" s="7" t="s">
        <v>702</v>
      </c>
      <c r="H91" s="8" t="s">
        <v>703</v>
      </c>
    </row>
    <row r="92" spans="1:8" ht="48.75" customHeight="1">
      <c r="A92" s="7" t="s">
        <v>696</v>
      </c>
      <c r="B92" s="7" t="s">
        <v>106</v>
      </c>
      <c r="C92" s="7" t="s">
        <v>745</v>
      </c>
      <c r="D92" s="7">
        <v>100</v>
      </c>
      <c r="E92" s="7" t="s">
        <v>731</v>
      </c>
      <c r="F92" s="7" t="s">
        <v>734</v>
      </c>
      <c r="G92" s="7" t="s">
        <v>702</v>
      </c>
      <c r="H92" s="8" t="s">
        <v>703</v>
      </c>
    </row>
    <row r="93" spans="1:8" ht="48.75" customHeight="1">
      <c r="A93" s="7" t="s">
        <v>696</v>
      </c>
      <c r="B93" s="7" t="s">
        <v>106</v>
      </c>
      <c r="C93" s="7" t="s">
        <v>746</v>
      </c>
      <c r="D93" s="7">
        <v>150</v>
      </c>
      <c r="E93" s="7" t="s">
        <v>731</v>
      </c>
      <c r="F93" s="7" t="s">
        <v>734</v>
      </c>
      <c r="G93" s="7" t="s">
        <v>702</v>
      </c>
      <c r="H93" s="8" t="s">
        <v>703</v>
      </c>
    </row>
    <row r="94" spans="1:8" ht="48.75" customHeight="1">
      <c r="A94" s="7" t="s">
        <v>696</v>
      </c>
      <c r="B94" s="7" t="s">
        <v>106</v>
      </c>
      <c r="C94" s="7" t="s">
        <v>747</v>
      </c>
      <c r="D94" s="7">
        <v>150</v>
      </c>
      <c r="E94" s="7" t="s">
        <v>731</v>
      </c>
      <c r="F94" s="7" t="s">
        <v>734</v>
      </c>
      <c r="G94" s="7" t="s">
        <v>702</v>
      </c>
      <c r="H94" s="8" t="s">
        <v>703</v>
      </c>
    </row>
    <row r="95" spans="1:8" ht="48.75" customHeight="1">
      <c r="A95" s="7" t="s">
        <v>696</v>
      </c>
      <c r="B95" s="7" t="s">
        <v>106</v>
      </c>
      <c r="C95" s="7" t="s">
        <v>748</v>
      </c>
      <c r="D95" s="7">
        <v>1.95</v>
      </c>
      <c r="E95" s="7" t="s">
        <v>743</v>
      </c>
      <c r="F95" s="7" t="s">
        <v>734</v>
      </c>
      <c r="G95" s="7" t="s">
        <v>702</v>
      </c>
      <c r="H95" s="8" t="s">
        <v>703</v>
      </c>
    </row>
    <row r="96" spans="1:8" ht="48.75" customHeight="1">
      <c r="A96" s="7" t="s">
        <v>696</v>
      </c>
      <c r="B96" s="7" t="s">
        <v>106</v>
      </c>
      <c r="C96" s="7" t="s">
        <v>749</v>
      </c>
      <c r="D96" s="7">
        <v>1.65</v>
      </c>
      <c r="E96" s="7" t="s">
        <v>743</v>
      </c>
      <c r="F96" s="7" t="s">
        <v>734</v>
      </c>
      <c r="G96" s="7" t="s">
        <v>702</v>
      </c>
      <c r="H96" s="8" t="s">
        <v>703</v>
      </c>
    </row>
    <row r="97" spans="1:8" ht="48.75" customHeight="1">
      <c r="A97" s="7" t="s">
        <v>696</v>
      </c>
      <c r="B97" s="7" t="s">
        <v>106</v>
      </c>
      <c r="C97" s="7" t="s">
        <v>750</v>
      </c>
      <c r="D97" s="7">
        <v>1.3</v>
      </c>
      <c r="E97" s="7" t="s">
        <v>743</v>
      </c>
      <c r="F97" s="7" t="s">
        <v>734</v>
      </c>
      <c r="G97" s="7" t="s">
        <v>702</v>
      </c>
      <c r="H97" s="8" t="s">
        <v>703</v>
      </c>
    </row>
    <row r="98" spans="1:8" ht="48.75" customHeight="1">
      <c r="A98" s="7" t="s">
        <v>696</v>
      </c>
      <c r="B98" s="7" t="s">
        <v>106</v>
      </c>
      <c r="C98" s="7" t="s">
        <v>751</v>
      </c>
      <c r="D98" s="7">
        <v>1.1000000000000001</v>
      </c>
      <c r="E98" s="7" t="s">
        <v>743</v>
      </c>
      <c r="F98" s="7" t="s">
        <v>734</v>
      </c>
      <c r="G98" s="7" t="s">
        <v>702</v>
      </c>
      <c r="H98" s="8" t="s">
        <v>703</v>
      </c>
    </row>
    <row r="99" spans="1:8" ht="48.75" customHeight="1">
      <c r="A99" s="7" t="s">
        <v>696</v>
      </c>
      <c r="B99" s="7" t="s">
        <v>106</v>
      </c>
      <c r="C99" s="7" t="s">
        <v>752</v>
      </c>
      <c r="D99" s="7" t="s">
        <v>753</v>
      </c>
      <c r="E99" s="7"/>
      <c r="F99" s="7" t="s">
        <v>734</v>
      </c>
      <c r="G99" s="7" t="s">
        <v>702</v>
      </c>
      <c r="H99" s="8" t="s">
        <v>703</v>
      </c>
    </row>
    <row r="100" spans="1:8" ht="48.75" customHeight="1">
      <c r="A100" s="7" t="s">
        <v>696</v>
      </c>
      <c r="B100" s="7" t="s">
        <v>106</v>
      </c>
      <c r="C100" s="7" t="s">
        <v>754</v>
      </c>
      <c r="D100" s="7" t="s">
        <v>755</v>
      </c>
      <c r="E100" s="7"/>
      <c r="F100" s="7" t="s">
        <v>734</v>
      </c>
      <c r="G100" s="7" t="s">
        <v>702</v>
      </c>
      <c r="H100" s="8" t="s">
        <v>703</v>
      </c>
    </row>
    <row r="101" spans="1:8" ht="48.75" customHeight="1">
      <c r="A101" s="7" t="s">
        <v>696</v>
      </c>
      <c r="B101" s="7" t="s">
        <v>106</v>
      </c>
      <c r="C101" s="7" t="s">
        <v>756</v>
      </c>
      <c r="D101" s="7" t="s">
        <v>757</v>
      </c>
      <c r="E101" s="7"/>
      <c r="F101" s="7" t="s">
        <v>734</v>
      </c>
      <c r="G101" s="7" t="s">
        <v>702</v>
      </c>
      <c r="H101" s="8" t="s">
        <v>703</v>
      </c>
    </row>
    <row r="102" spans="1:8" ht="48.75" customHeight="1">
      <c r="A102" s="7" t="s">
        <v>696</v>
      </c>
      <c r="B102" s="7" t="s">
        <v>106</v>
      </c>
      <c r="C102" s="7" t="s">
        <v>758</v>
      </c>
      <c r="D102" s="7">
        <v>61.5</v>
      </c>
      <c r="E102" s="7" t="s">
        <v>759</v>
      </c>
      <c r="F102" s="7" t="s">
        <v>734</v>
      </c>
      <c r="G102" s="7" t="s">
        <v>702</v>
      </c>
      <c r="H102" s="8" t="s">
        <v>703</v>
      </c>
    </row>
    <row r="103" spans="1:8" ht="48.75" customHeight="1">
      <c r="A103" s="7" t="s">
        <v>696</v>
      </c>
      <c r="B103" s="7" t="s">
        <v>106</v>
      </c>
      <c r="C103" s="7" t="s">
        <v>760</v>
      </c>
      <c r="D103" s="7">
        <v>114.4</v>
      </c>
      <c r="E103" s="7" t="s">
        <v>759</v>
      </c>
      <c r="F103" s="7" t="s">
        <v>734</v>
      </c>
      <c r="G103" s="7" t="s">
        <v>702</v>
      </c>
      <c r="H103" s="8" t="s">
        <v>703</v>
      </c>
    </row>
    <row r="104" spans="1:8" ht="48.75" customHeight="1">
      <c r="A104" s="7" t="s">
        <v>696</v>
      </c>
      <c r="B104" s="7" t="s">
        <v>106</v>
      </c>
      <c r="C104" s="7" t="s">
        <v>761</v>
      </c>
      <c r="D104" s="7" t="s">
        <v>762</v>
      </c>
      <c r="E104" s="7"/>
      <c r="F104" s="7" t="s">
        <v>734</v>
      </c>
      <c r="G104" s="7" t="s">
        <v>702</v>
      </c>
      <c r="H104" s="8" t="s">
        <v>703</v>
      </c>
    </row>
    <row r="105" spans="1:8" ht="48.75" customHeight="1">
      <c r="A105" s="7" t="s">
        <v>696</v>
      </c>
      <c r="B105" s="7" t="s">
        <v>106</v>
      </c>
      <c r="C105" s="7" t="s">
        <v>763</v>
      </c>
      <c r="D105" s="7" t="s">
        <v>764</v>
      </c>
      <c r="E105" s="7"/>
      <c r="F105" s="7" t="s">
        <v>734</v>
      </c>
      <c r="G105" s="7" t="s">
        <v>702</v>
      </c>
      <c r="H105" s="8" t="s">
        <v>703</v>
      </c>
    </row>
    <row r="106" spans="1:8" ht="35.25" customHeight="1">
      <c r="A106" s="7" t="s">
        <v>704</v>
      </c>
      <c r="B106" s="7" t="s">
        <v>218</v>
      </c>
      <c r="C106" s="7" t="s">
        <v>733</v>
      </c>
      <c r="D106" s="7">
        <v>26040</v>
      </c>
      <c r="E106" s="7" t="s">
        <v>731</v>
      </c>
      <c r="F106" s="7" t="s">
        <v>765</v>
      </c>
      <c r="G106" s="7" t="s">
        <v>709</v>
      </c>
      <c r="H106" s="8" t="s">
        <v>710</v>
      </c>
    </row>
    <row r="107" spans="1:8" ht="35.25" customHeight="1">
      <c r="A107" s="7" t="s">
        <v>704</v>
      </c>
      <c r="B107" s="7" t="s">
        <v>218</v>
      </c>
      <c r="C107" s="7" t="s">
        <v>730</v>
      </c>
      <c r="D107" s="7">
        <v>2700</v>
      </c>
      <c r="E107" s="7" t="s">
        <v>731</v>
      </c>
      <c r="F107" s="7" t="s">
        <v>765</v>
      </c>
      <c r="G107" s="7" t="s">
        <v>709</v>
      </c>
      <c r="H107" s="8" t="s">
        <v>710</v>
      </c>
    </row>
    <row r="108" spans="1:8" ht="35.25" customHeight="1">
      <c r="A108" s="7" t="s">
        <v>704</v>
      </c>
      <c r="B108" s="7" t="s">
        <v>218</v>
      </c>
      <c r="C108" s="7" t="s">
        <v>758</v>
      </c>
      <c r="D108" s="7">
        <v>53.65</v>
      </c>
      <c r="E108" s="7" t="s">
        <v>759</v>
      </c>
      <c r="F108" s="7" t="s">
        <v>765</v>
      </c>
      <c r="G108" s="7" t="s">
        <v>709</v>
      </c>
      <c r="H108" s="8" t="s">
        <v>710</v>
      </c>
    </row>
    <row r="109" spans="1:8" ht="35.25" customHeight="1">
      <c r="A109" s="7" t="s">
        <v>704</v>
      </c>
      <c r="B109" s="7" t="s">
        <v>218</v>
      </c>
      <c r="C109" s="7" t="s">
        <v>760</v>
      </c>
      <c r="D109" s="7">
        <v>110.25</v>
      </c>
      <c r="E109" s="7" t="s">
        <v>759</v>
      </c>
      <c r="F109" s="7" t="s">
        <v>765</v>
      </c>
      <c r="G109" s="7" t="s">
        <v>709</v>
      </c>
      <c r="H109" s="8" t="s">
        <v>710</v>
      </c>
    </row>
    <row r="110" spans="1:8" ht="35.25" customHeight="1">
      <c r="A110" s="7" t="s">
        <v>711</v>
      </c>
      <c r="B110" s="7" t="s">
        <v>218</v>
      </c>
      <c r="C110" s="7" t="s">
        <v>733</v>
      </c>
      <c r="D110" s="7">
        <v>26040</v>
      </c>
      <c r="E110" s="7" t="s">
        <v>731</v>
      </c>
      <c r="F110" s="7"/>
      <c r="G110" s="7" t="s">
        <v>716</v>
      </c>
      <c r="H110" s="8" t="s">
        <v>710</v>
      </c>
    </row>
    <row r="111" spans="1:8" ht="35.25" customHeight="1">
      <c r="A111" s="7" t="s">
        <v>711</v>
      </c>
      <c r="B111" s="7" t="s">
        <v>218</v>
      </c>
      <c r="C111" s="7" t="s">
        <v>730</v>
      </c>
      <c r="D111" s="7">
        <v>2700</v>
      </c>
      <c r="E111" s="7" t="s">
        <v>731</v>
      </c>
      <c r="F111" s="7"/>
      <c r="G111" s="7" t="s">
        <v>716</v>
      </c>
      <c r="H111" s="8" t="s">
        <v>710</v>
      </c>
    </row>
    <row r="112" spans="1:8" ht="35.25" customHeight="1">
      <c r="A112" s="7" t="s">
        <v>711</v>
      </c>
      <c r="B112" s="7" t="s">
        <v>218</v>
      </c>
      <c r="C112" s="7" t="s">
        <v>738</v>
      </c>
      <c r="D112" s="7">
        <v>200</v>
      </c>
      <c r="E112" s="7" t="s">
        <v>729</v>
      </c>
      <c r="F112" s="7"/>
      <c r="G112" s="7" t="s">
        <v>716</v>
      </c>
      <c r="H112" s="8" t="s">
        <v>710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CBD6"/>
  </sheetPr>
  <dimension ref="A1:K22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12.75" customWidth="1"/>
    <col min="2" max="2" width="24.5" customWidth="1"/>
    <col min="3" max="3" width="11.125" customWidth="1"/>
    <col min="4" max="4" width="32.25" customWidth="1"/>
    <col min="5" max="5" width="16.125" customWidth="1"/>
    <col min="6" max="7" width="13.875" customWidth="1"/>
    <col min="8" max="8" width="17.25" customWidth="1"/>
    <col min="9" max="9" width="56.625" customWidth="1"/>
    <col min="10" max="10" width="44.5" customWidth="1"/>
    <col min="11" max="11" width="48.875" customWidth="1"/>
  </cols>
  <sheetData>
    <row r="1" spans="1:11" ht="27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7.95" customHeight="1">
      <c r="A2" s="2" t="s">
        <v>766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7.95" customHeight="1">
      <c r="A3" s="3" t="s">
        <v>767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7.9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27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42" customHeight="1">
      <c r="A6" s="5" t="s">
        <v>768</v>
      </c>
      <c r="B6" s="5" t="s">
        <v>381</v>
      </c>
      <c r="C6" s="5" t="s">
        <v>2</v>
      </c>
      <c r="D6" s="5" t="s">
        <v>769</v>
      </c>
      <c r="E6" s="5" t="s">
        <v>770</v>
      </c>
      <c r="F6" s="5" t="s">
        <v>720</v>
      </c>
      <c r="G6" s="5" t="s">
        <v>721</v>
      </c>
      <c r="H6" s="5" t="s">
        <v>771</v>
      </c>
      <c r="I6" s="5" t="s">
        <v>772</v>
      </c>
      <c r="J6" s="5" t="s">
        <v>25</v>
      </c>
      <c r="K6" s="5" t="s">
        <v>26</v>
      </c>
    </row>
    <row r="7" spans="1:11" ht="30" customHeight="1">
      <c r="A7" s="7" t="s">
        <v>773</v>
      </c>
      <c r="B7" s="7" t="s">
        <v>506</v>
      </c>
      <c r="C7" s="7" t="s">
        <v>239</v>
      </c>
      <c r="D7" s="7" t="s">
        <v>774</v>
      </c>
      <c r="E7" s="14"/>
      <c r="F7" s="15">
        <v>112</v>
      </c>
      <c r="G7" s="7" t="s">
        <v>759</v>
      </c>
      <c r="H7" s="7" t="s">
        <v>775</v>
      </c>
      <c r="I7" s="7" t="s">
        <v>514</v>
      </c>
      <c r="J7" s="7" t="s">
        <v>517</v>
      </c>
      <c r="K7" s="8" t="s">
        <v>250</v>
      </c>
    </row>
    <row r="8" spans="1:11" ht="30" customHeight="1">
      <c r="A8" s="7" t="s">
        <v>776</v>
      </c>
      <c r="B8" s="7" t="s">
        <v>506</v>
      </c>
      <c r="C8" s="7" t="s">
        <v>239</v>
      </c>
      <c r="D8" s="7" t="s">
        <v>777</v>
      </c>
      <c r="E8" s="14"/>
      <c r="F8" s="9">
        <v>739.6</v>
      </c>
      <c r="G8" s="7" t="s">
        <v>759</v>
      </c>
      <c r="H8" s="7" t="s">
        <v>775</v>
      </c>
      <c r="I8" s="7" t="s">
        <v>514</v>
      </c>
      <c r="J8" s="7" t="s">
        <v>517</v>
      </c>
      <c r="K8" s="8" t="s">
        <v>250</v>
      </c>
    </row>
    <row r="9" spans="1:11" ht="30" customHeight="1">
      <c r="A9" s="7" t="s">
        <v>778</v>
      </c>
      <c r="B9" s="7" t="s">
        <v>506</v>
      </c>
      <c r="C9" s="7" t="s">
        <v>239</v>
      </c>
      <c r="D9" s="7" t="s">
        <v>779</v>
      </c>
      <c r="E9" s="10">
        <v>110.25</v>
      </c>
      <c r="F9" s="10">
        <v>0.69</v>
      </c>
      <c r="G9" s="7" t="s">
        <v>731</v>
      </c>
      <c r="H9" s="7" t="s">
        <v>775</v>
      </c>
      <c r="I9" s="7" t="s">
        <v>514</v>
      </c>
      <c r="J9" s="7" t="s">
        <v>517</v>
      </c>
      <c r="K9" s="8" t="s">
        <v>250</v>
      </c>
    </row>
    <row r="10" spans="1:11" ht="30" customHeight="1">
      <c r="A10" s="7" t="s">
        <v>780</v>
      </c>
      <c r="B10" s="7" t="s">
        <v>506</v>
      </c>
      <c r="C10" s="7" t="s">
        <v>239</v>
      </c>
      <c r="D10" s="7" t="s">
        <v>781</v>
      </c>
      <c r="E10" s="10">
        <v>208.25</v>
      </c>
      <c r="F10" s="10">
        <v>2.19</v>
      </c>
      <c r="G10" s="7" t="s">
        <v>731</v>
      </c>
      <c r="H10" s="7" t="s">
        <v>775</v>
      </c>
      <c r="I10" s="7" t="s">
        <v>514</v>
      </c>
      <c r="J10" s="7" t="s">
        <v>517</v>
      </c>
      <c r="K10" s="8" t="s">
        <v>250</v>
      </c>
    </row>
    <row r="11" spans="1:11" ht="30" customHeight="1">
      <c r="A11" s="7" t="s">
        <v>782</v>
      </c>
      <c r="B11" s="7" t="s">
        <v>506</v>
      </c>
      <c r="C11" s="7" t="s">
        <v>239</v>
      </c>
      <c r="D11" s="7" t="s">
        <v>783</v>
      </c>
      <c r="E11" s="9">
        <v>739.6</v>
      </c>
      <c r="F11" s="10">
        <v>14.68</v>
      </c>
      <c r="G11" s="7" t="s">
        <v>731</v>
      </c>
      <c r="H11" s="7" t="s">
        <v>775</v>
      </c>
      <c r="I11" s="7" t="s">
        <v>514</v>
      </c>
      <c r="J11" s="7" t="s">
        <v>517</v>
      </c>
      <c r="K11" s="8" t="s">
        <v>250</v>
      </c>
    </row>
    <row r="12" spans="1:11" ht="30" customHeight="1">
      <c r="A12" s="7" t="s">
        <v>784</v>
      </c>
      <c r="B12" s="7" t="s">
        <v>506</v>
      </c>
      <c r="C12" s="7" t="s">
        <v>239</v>
      </c>
      <c r="D12" s="7" t="s">
        <v>785</v>
      </c>
      <c r="E12" s="10">
        <v>208.25</v>
      </c>
      <c r="F12" s="10">
        <v>0.09</v>
      </c>
      <c r="G12" s="7" t="s">
        <v>731</v>
      </c>
      <c r="H12" s="7" t="s">
        <v>775</v>
      </c>
      <c r="I12" s="7" t="s">
        <v>514</v>
      </c>
      <c r="J12" s="7" t="s">
        <v>517</v>
      </c>
      <c r="K12" s="8" t="s">
        <v>250</v>
      </c>
    </row>
    <row r="13" spans="1:11" ht="30" customHeight="1">
      <c r="A13" s="7" t="s">
        <v>786</v>
      </c>
      <c r="B13" s="7" t="s">
        <v>506</v>
      </c>
      <c r="C13" s="7" t="s">
        <v>239</v>
      </c>
      <c r="D13" s="7" t="s">
        <v>787</v>
      </c>
      <c r="E13" s="9">
        <v>739.6</v>
      </c>
      <c r="F13" s="10">
        <v>1.1599999999999999</v>
      </c>
      <c r="G13" s="7" t="s">
        <v>731</v>
      </c>
      <c r="H13" s="7" t="s">
        <v>775</v>
      </c>
      <c r="I13" s="7" t="s">
        <v>514</v>
      </c>
      <c r="J13" s="7" t="s">
        <v>517</v>
      </c>
      <c r="K13" s="8" t="s">
        <v>250</v>
      </c>
    </row>
    <row r="14" spans="1:11" ht="30" customHeight="1">
      <c r="A14" s="7" t="s">
        <v>788</v>
      </c>
      <c r="B14" s="7" t="s">
        <v>390</v>
      </c>
      <c r="C14" s="7" t="s">
        <v>239</v>
      </c>
      <c r="D14" s="7" t="s">
        <v>774</v>
      </c>
      <c r="E14" s="14"/>
      <c r="F14" s="9">
        <v>105.3</v>
      </c>
      <c r="G14" s="7" t="s">
        <v>759</v>
      </c>
      <c r="H14" s="7" t="s">
        <v>775</v>
      </c>
      <c r="I14" s="7" t="s">
        <v>514</v>
      </c>
      <c r="J14" s="7" t="s">
        <v>517</v>
      </c>
      <c r="K14" s="8" t="s">
        <v>250</v>
      </c>
    </row>
    <row r="15" spans="1:11" ht="30" customHeight="1">
      <c r="A15" s="7" t="s">
        <v>789</v>
      </c>
      <c r="B15" s="7" t="s">
        <v>390</v>
      </c>
      <c r="C15" s="7" t="s">
        <v>239</v>
      </c>
      <c r="D15" s="7" t="s">
        <v>777</v>
      </c>
      <c r="E15" s="14"/>
      <c r="F15" s="9">
        <v>548.29999999999995</v>
      </c>
      <c r="G15" s="7" t="s">
        <v>759</v>
      </c>
      <c r="H15" s="7" t="s">
        <v>775</v>
      </c>
      <c r="I15" s="7" t="s">
        <v>514</v>
      </c>
      <c r="J15" s="7" t="s">
        <v>517</v>
      </c>
      <c r="K15" s="8" t="s">
        <v>250</v>
      </c>
    </row>
    <row r="16" spans="1:11" ht="30" customHeight="1">
      <c r="A16" s="7" t="s">
        <v>790</v>
      </c>
      <c r="B16" s="7" t="s">
        <v>390</v>
      </c>
      <c r="C16" s="7" t="s">
        <v>239</v>
      </c>
      <c r="D16" s="7" t="s">
        <v>779</v>
      </c>
      <c r="E16" s="10">
        <v>110.25</v>
      </c>
      <c r="F16" s="10">
        <v>1.25</v>
      </c>
      <c r="G16" s="7" t="s">
        <v>731</v>
      </c>
      <c r="H16" s="7" t="s">
        <v>775</v>
      </c>
      <c r="I16" s="7" t="s">
        <v>514</v>
      </c>
      <c r="J16" s="7" t="s">
        <v>517</v>
      </c>
      <c r="K16" s="8" t="s">
        <v>250</v>
      </c>
    </row>
    <row r="17" spans="1:11" ht="30" customHeight="1">
      <c r="A17" s="7" t="s">
        <v>791</v>
      </c>
      <c r="B17" s="7" t="s">
        <v>390</v>
      </c>
      <c r="C17" s="7" t="s">
        <v>239</v>
      </c>
      <c r="D17" s="7" t="s">
        <v>781</v>
      </c>
      <c r="E17" s="10">
        <v>208.25</v>
      </c>
      <c r="F17" s="10">
        <v>4.1399999999999997</v>
      </c>
      <c r="G17" s="7" t="s">
        <v>731</v>
      </c>
      <c r="H17" s="7" t="s">
        <v>775</v>
      </c>
      <c r="I17" s="7" t="s">
        <v>514</v>
      </c>
      <c r="J17" s="7" t="s">
        <v>517</v>
      </c>
      <c r="K17" s="8" t="s">
        <v>250</v>
      </c>
    </row>
    <row r="18" spans="1:11" ht="30" customHeight="1">
      <c r="A18" s="7" t="s">
        <v>792</v>
      </c>
      <c r="B18" s="7" t="s">
        <v>390</v>
      </c>
      <c r="C18" s="7" t="s">
        <v>239</v>
      </c>
      <c r="D18" s="7" t="s">
        <v>783</v>
      </c>
      <c r="E18" s="9">
        <v>548.29999999999995</v>
      </c>
      <c r="F18" s="10">
        <v>19.829999999999998</v>
      </c>
      <c r="G18" s="7" t="s">
        <v>731</v>
      </c>
      <c r="H18" s="7" t="s">
        <v>775</v>
      </c>
      <c r="I18" s="7" t="s">
        <v>514</v>
      </c>
      <c r="J18" s="7" t="s">
        <v>517</v>
      </c>
      <c r="K18" s="8" t="s">
        <v>250</v>
      </c>
    </row>
    <row r="19" spans="1:11" ht="30" customHeight="1">
      <c r="A19" s="7" t="s">
        <v>793</v>
      </c>
      <c r="B19" s="7" t="s">
        <v>390</v>
      </c>
      <c r="C19" s="7" t="s">
        <v>239</v>
      </c>
      <c r="D19" s="7" t="s">
        <v>794</v>
      </c>
      <c r="E19" s="10">
        <v>110.25</v>
      </c>
      <c r="F19" s="9">
        <v>0.1</v>
      </c>
      <c r="G19" s="7" t="s">
        <v>731</v>
      </c>
      <c r="H19" s="7" t="s">
        <v>775</v>
      </c>
      <c r="I19" s="7" t="s">
        <v>514</v>
      </c>
      <c r="J19" s="7" t="s">
        <v>517</v>
      </c>
      <c r="K19" s="8" t="s">
        <v>250</v>
      </c>
    </row>
    <row r="20" spans="1:11" ht="30" customHeight="1">
      <c r="A20" s="7" t="s">
        <v>795</v>
      </c>
      <c r="B20" s="7" t="s">
        <v>390</v>
      </c>
      <c r="C20" s="7" t="s">
        <v>239</v>
      </c>
      <c r="D20" s="7" t="s">
        <v>785</v>
      </c>
      <c r="E20" s="10">
        <v>208.25</v>
      </c>
      <c r="F20" s="10">
        <v>0.42</v>
      </c>
      <c r="G20" s="7" t="s">
        <v>731</v>
      </c>
      <c r="H20" s="7" t="s">
        <v>775</v>
      </c>
      <c r="I20" s="7" t="s">
        <v>514</v>
      </c>
      <c r="J20" s="7" t="s">
        <v>517</v>
      </c>
      <c r="K20" s="8" t="s">
        <v>250</v>
      </c>
    </row>
    <row r="21" spans="1:11" ht="30" customHeight="1">
      <c r="A21" s="7" t="s">
        <v>796</v>
      </c>
      <c r="B21" s="7" t="s">
        <v>390</v>
      </c>
      <c r="C21" s="7" t="s">
        <v>239</v>
      </c>
      <c r="D21" s="7" t="s">
        <v>787</v>
      </c>
      <c r="E21" s="9">
        <v>548.29999999999995</v>
      </c>
      <c r="F21" s="10">
        <v>1.82</v>
      </c>
      <c r="G21" s="7" t="s">
        <v>731</v>
      </c>
      <c r="H21" s="7" t="s">
        <v>775</v>
      </c>
      <c r="I21" s="7" t="s">
        <v>514</v>
      </c>
      <c r="J21" s="7" t="s">
        <v>517</v>
      </c>
      <c r="K21" s="8" t="s">
        <v>250</v>
      </c>
    </row>
    <row r="22" spans="1:11" ht="30" customHeight="1">
      <c r="A22" s="7" t="s">
        <v>797</v>
      </c>
      <c r="B22" s="7" t="s">
        <v>394</v>
      </c>
      <c r="C22" s="7" t="s">
        <v>239</v>
      </c>
      <c r="D22" s="7" t="s">
        <v>774</v>
      </c>
      <c r="E22" s="14"/>
      <c r="F22" s="9">
        <v>134.80000000000001</v>
      </c>
      <c r="G22" s="7" t="s">
        <v>759</v>
      </c>
      <c r="H22" s="7" t="s">
        <v>775</v>
      </c>
      <c r="I22" s="7" t="s">
        <v>514</v>
      </c>
      <c r="J22" s="7" t="s">
        <v>517</v>
      </c>
      <c r="K22" s="8" t="s">
        <v>250</v>
      </c>
    </row>
    <row r="23" spans="1:11" ht="30" customHeight="1">
      <c r="A23" s="7" t="s">
        <v>798</v>
      </c>
      <c r="B23" s="7" t="s">
        <v>394</v>
      </c>
      <c r="C23" s="7" t="s">
        <v>239</v>
      </c>
      <c r="D23" s="7" t="s">
        <v>777</v>
      </c>
      <c r="E23" s="14"/>
      <c r="F23" s="9">
        <v>664.6</v>
      </c>
      <c r="G23" s="7" t="s">
        <v>759</v>
      </c>
      <c r="H23" s="7" t="s">
        <v>775</v>
      </c>
      <c r="I23" s="7" t="s">
        <v>514</v>
      </c>
      <c r="J23" s="7" t="s">
        <v>517</v>
      </c>
      <c r="K23" s="8" t="s">
        <v>250</v>
      </c>
    </row>
    <row r="24" spans="1:11" ht="30" customHeight="1">
      <c r="A24" s="7" t="s">
        <v>799</v>
      </c>
      <c r="B24" s="7" t="s">
        <v>394</v>
      </c>
      <c r="C24" s="7" t="s">
        <v>239</v>
      </c>
      <c r="D24" s="7" t="s">
        <v>779</v>
      </c>
      <c r="E24" s="10">
        <v>110.25</v>
      </c>
      <c r="F24" s="10">
        <v>0.94</v>
      </c>
      <c r="G24" s="7" t="s">
        <v>731</v>
      </c>
      <c r="H24" s="7" t="s">
        <v>775</v>
      </c>
      <c r="I24" s="7" t="s">
        <v>514</v>
      </c>
      <c r="J24" s="7" t="s">
        <v>517</v>
      </c>
      <c r="K24" s="8" t="s">
        <v>250</v>
      </c>
    </row>
    <row r="25" spans="1:11" ht="30" customHeight="1">
      <c r="A25" s="7" t="s">
        <v>800</v>
      </c>
      <c r="B25" s="7" t="s">
        <v>394</v>
      </c>
      <c r="C25" s="7" t="s">
        <v>239</v>
      </c>
      <c r="D25" s="7" t="s">
        <v>781</v>
      </c>
      <c r="E25" s="10">
        <v>208.25</v>
      </c>
      <c r="F25" s="10">
        <v>3.34</v>
      </c>
      <c r="G25" s="7" t="s">
        <v>731</v>
      </c>
      <c r="H25" s="7" t="s">
        <v>775</v>
      </c>
      <c r="I25" s="7" t="s">
        <v>514</v>
      </c>
      <c r="J25" s="7" t="s">
        <v>517</v>
      </c>
      <c r="K25" s="8" t="s">
        <v>250</v>
      </c>
    </row>
    <row r="26" spans="1:11" ht="30" customHeight="1">
      <c r="A26" s="7" t="s">
        <v>801</v>
      </c>
      <c r="B26" s="7" t="s">
        <v>394</v>
      </c>
      <c r="C26" s="7" t="s">
        <v>239</v>
      </c>
      <c r="D26" s="7" t="s">
        <v>783</v>
      </c>
      <c r="E26" s="9">
        <v>664.6</v>
      </c>
      <c r="F26" s="10">
        <v>20.36</v>
      </c>
      <c r="G26" s="7" t="s">
        <v>731</v>
      </c>
      <c r="H26" s="7" t="s">
        <v>775</v>
      </c>
      <c r="I26" s="7" t="s">
        <v>514</v>
      </c>
      <c r="J26" s="7" t="s">
        <v>517</v>
      </c>
      <c r="K26" s="8" t="s">
        <v>250</v>
      </c>
    </row>
    <row r="27" spans="1:11" ht="30" customHeight="1">
      <c r="A27" s="7" t="s">
        <v>802</v>
      </c>
      <c r="B27" s="7" t="s">
        <v>394</v>
      </c>
      <c r="C27" s="7" t="s">
        <v>239</v>
      </c>
      <c r="D27" s="7" t="s">
        <v>785</v>
      </c>
      <c r="E27" s="10">
        <v>208.25</v>
      </c>
      <c r="F27" s="10">
        <v>0.19</v>
      </c>
      <c r="G27" s="7" t="s">
        <v>731</v>
      </c>
      <c r="H27" s="7" t="s">
        <v>775</v>
      </c>
      <c r="I27" s="7" t="s">
        <v>514</v>
      </c>
      <c r="J27" s="7" t="s">
        <v>517</v>
      </c>
      <c r="K27" s="8" t="s">
        <v>250</v>
      </c>
    </row>
    <row r="28" spans="1:11" ht="30" customHeight="1">
      <c r="A28" s="7" t="s">
        <v>803</v>
      </c>
      <c r="B28" s="7" t="s">
        <v>394</v>
      </c>
      <c r="C28" s="7" t="s">
        <v>239</v>
      </c>
      <c r="D28" s="7" t="s">
        <v>787</v>
      </c>
      <c r="E28" s="9">
        <v>664.6</v>
      </c>
      <c r="F28" s="10">
        <v>0.94</v>
      </c>
      <c r="G28" s="7" t="s">
        <v>731</v>
      </c>
      <c r="H28" s="7" t="s">
        <v>775</v>
      </c>
      <c r="I28" s="7" t="s">
        <v>514</v>
      </c>
      <c r="J28" s="7" t="s">
        <v>517</v>
      </c>
      <c r="K28" s="8" t="s">
        <v>250</v>
      </c>
    </row>
    <row r="29" spans="1:11" ht="30" customHeight="1">
      <c r="A29" s="7" t="s">
        <v>804</v>
      </c>
      <c r="B29" s="7" t="s">
        <v>396</v>
      </c>
      <c r="C29" s="7" t="s">
        <v>239</v>
      </c>
      <c r="D29" s="7" t="s">
        <v>774</v>
      </c>
      <c r="E29" s="14"/>
      <c r="F29" s="9">
        <v>120.5</v>
      </c>
      <c r="G29" s="7" t="s">
        <v>759</v>
      </c>
      <c r="H29" s="7" t="s">
        <v>775</v>
      </c>
      <c r="I29" s="7" t="s">
        <v>514</v>
      </c>
      <c r="J29" s="7" t="s">
        <v>517</v>
      </c>
      <c r="K29" s="8" t="s">
        <v>250</v>
      </c>
    </row>
    <row r="30" spans="1:11" ht="30" customHeight="1">
      <c r="A30" s="7" t="s">
        <v>805</v>
      </c>
      <c r="B30" s="7" t="s">
        <v>396</v>
      </c>
      <c r="C30" s="7" t="s">
        <v>239</v>
      </c>
      <c r="D30" s="7" t="s">
        <v>777</v>
      </c>
      <c r="E30" s="14"/>
      <c r="F30" s="9">
        <v>565.9</v>
      </c>
      <c r="G30" s="7" t="s">
        <v>759</v>
      </c>
      <c r="H30" s="7" t="s">
        <v>775</v>
      </c>
      <c r="I30" s="7" t="s">
        <v>514</v>
      </c>
      <c r="J30" s="7" t="s">
        <v>517</v>
      </c>
      <c r="K30" s="8" t="s">
        <v>250</v>
      </c>
    </row>
    <row r="31" spans="1:11" ht="30" customHeight="1">
      <c r="A31" s="7" t="s">
        <v>806</v>
      </c>
      <c r="B31" s="7" t="s">
        <v>396</v>
      </c>
      <c r="C31" s="7" t="s">
        <v>239</v>
      </c>
      <c r="D31" s="7" t="s">
        <v>779</v>
      </c>
      <c r="E31" s="10">
        <v>110.25</v>
      </c>
      <c r="F31" s="10">
        <v>1.08</v>
      </c>
      <c r="G31" s="7" t="s">
        <v>731</v>
      </c>
      <c r="H31" s="7" t="s">
        <v>775</v>
      </c>
      <c r="I31" s="7" t="s">
        <v>514</v>
      </c>
      <c r="J31" s="7" t="s">
        <v>517</v>
      </c>
      <c r="K31" s="8" t="s">
        <v>250</v>
      </c>
    </row>
    <row r="32" spans="1:11" ht="30" customHeight="1">
      <c r="A32" s="7" t="s">
        <v>807</v>
      </c>
      <c r="B32" s="7" t="s">
        <v>396</v>
      </c>
      <c r="C32" s="7" t="s">
        <v>239</v>
      </c>
      <c r="D32" s="7" t="s">
        <v>781</v>
      </c>
      <c r="E32" s="10">
        <v>208.25</v>
      </c>
      <c r="F32" s="10">
        <v>3.41</v>
      </c>
      <c r="G32" s="7" t="s">
        <v>731</v>
      </c>
      <c r="H32" s="7" t="s">
        <v>775</v>
      </c>
      <c r="I32" s="7" t="s">
        <v>514</v>
      </c>
      <c r="J32" s="7" t="s">
        <v>517</v>
      </c>
      <c r="K32" s="8" t="s">
        <v>250</v>
      </c>
    </row>
    <row r="33" spans="1:11" ht="30" customHeight="1">
      <c r="A33" s="7" t="s">
        <v>808</v>
      </c>
      <c r="B33" s="7" t="s">
        <v>396</v>
      </c>
      <c r="C33" s="7" t="s">
        <v>239</v>
      </c>
      <c r="D33" s="7" t="s">
        <v>783</v>
      </c>
      <c r="E33" s="9">
        <v>565.9</v>
      </c>
      <c r="F33" s="10">
        <v>21.37</v>
      </c>
      <c r="G33" s="7" t="s">
        <v>731</v>
      </c>
      <c r="H33" s="7" t="s">
        <v>775</v>
      </c>
      <c r="I33" s="7" t="s">
        <v>514</v>
      </c>
      <c r="J33" s="7" t="s">
        <v>517</v>
      </c>
      <c r="K33" s="8" t="s">
        <v>250</v>
      </c>
    </row>
    <row r="34" spans="1:11" ht="30" customHeight="1">
      <c r="A34" s="7" t="s">
        <v>809</v>
      </c>
      <c r="B34" s="7" t="s">
        <v>396</v>
      </c>
      <c r="C34" s="7" t="s">
        <v>239</v>
      </c>
      <c r="D34" s="7" t="s">
        <v>785</v>
      </c>
      <c r="E34" s="10">
        <v>208.25</v>
      </c>
      <c r="F34" s="10">
        <v>0.28999999999999998</v>
      </c>
      <c r="G34" s="7" t="s">
        <v>731</v>
      </c>
      <c r="H34" s="7" t="s">
        <v>775</v>
      </c>
      <c r="I34" s="7" t="s">
        <v>514</v>
      </c>
      <c r="J34" s="7" t="s">
        <v>517</v>
      </c>
      <c r="K34" s="8" t="s">
        <v>250</v>
      </c>
    </row>
    <row r="35" spans="1:11" ht="30" customHeight="1">
      <c r="A35" s="7" t="s">
        <v>810</v>
      </c>
      <c r="B35" s="7" t="s">
        <v>396</v>
      </c>
      <c r="C35" s="7" t="s">
        <v>239</v>
      </c>
      <c r="D35" s="7" t="s">
        <v>787</v>
      </c>
      <c r="E35" s="9">
        <v>565.9</v>
      </c>
      <c r="F35" s="10">
        <v>1.26</v>
      </c>
      <c r="G35" s="7" t="s">
        <v>731</v>
      </c>
      <c r="H35" s="7" t="s">
        <v>775</v>
      </c>
      <c r="I35" s="7" t="s">
        <v>514</v>
      </c>
      <c r="J35" s="7" t="s">
        <v>517</v>
      </c>
      <c r="K35" s="8" t="s">
        <v>250</v>
      </c>
    </row>
    <row r="36" spans="1:11" ht="30" customHeight="1">
      <c r="A36" s="7" t="s">
        <v>811</v>
      </c>
      <c r="B36" s="7" t="s">
        <v>398</v>
      </c>
      <c r="C36" s="7" t="s">
        <v>239</v>
      </c>
      <c r="D36" s="7" t="s">
        <v>774</v>
      </c>
      <c r="E36" s="14"/>
      <c r="F36" s="9">
        <v>108.6</v>
      </c>
      <c r="G36" s="7" t="s">
        <v>759</v>
      </c>
      <c r="H36" s="7" t="s">
        <v>775</v>
      </c>
      <c r="I36" s="7" t="s">
        <v>514</v>
      </c>
      <c r="J36" s="7" t="s">
        <v>517</v>
      </c>
      <c r="K36" s="8" t="s">
        <v>250</v>
      </c>
    </row>
    <row r="37" spans="1:11" ht="30" customHeight="1">
      <c r="A37" s="7" t="s">
        <v>812</v>
      </c>
      <c r="B37" s="7" t="s">
        <v>398</v>
      </c>
      <c r="C37" s="7" t="s">
        <v>239</v>
      </c>
      <c r="D37" s="7" t="s">
        <v>777</v>
      </c>
      <c r="E37" s="14"/>
      <c r="F37" s="9">
        <v>716.4</v>
      </c>
      <c r="G37" s="7" t="s">
        <v>759</v>
      </c>
      <c r="H37" s="7" t="s">
        <v>775</v>
      </c>
      <c r="I37" s="7" t="s">
        <v>514</v>
      </c>
      <c r="J37" s="7" t="s">
        <v>517</v>
      </c>
      <c r="K37" s="8" t="s">
        <v>250</v>
      </c>
    </row>
    <row r="38" spans="1:11" ht="30" customHeight="1">
      <c r="A38" s="7" t="s">
        <v>813</v>
      </c>
      <c r="B38" s="7" t="s">
        <v>398</v>
      </c>
      <c r="C38" s="7" t="s">
        <v>239</v>
      </c>
      <c r="D38" s="7" t="s">
        <v>779</v>
      </c>
      <c r="E38" s="10">
        <v>110.25</v>
      </c>
      <c r="F38" s="10">
        <v>0.87</v>
      </c>
      <c r="G38" s="7" t="s">
        <v>731</v>
      </c>
      <c r="H38" s="7" t="s">
        <v>775</v>
      </c>
      <c r="I38" s="7" t="s">
        <v>514</v>
      </c>
      <c r="J38" s="7" t="s">
        <v>517</v>
      </c>
      <c r="K38" s="8" t="s">
        <v>250</v>
      </c>
    </row>
    <row r="39" spans="1:11" ht="30" customHeight="1">
      <c r="A39" s="7" t="s">
        <v>814</v>
      </c>
      <c r="B39" s="7" t="s">
        <v>398</v>
      </c>
      <c r="C39" s="7" t="s">
        <v>239</v>
      </c>
      <c r="D39" s="7" t="s">
        <v>781</v>
      </c>
      <c r="E39" s="10">
        <v>208.25</v>
      </c>
      <c r="F39" s="10">
        <v>2.5299999999999998</v>
      </c>
      <c r="G39" s="7" t="s">
        <v>731</v>
      </c>
      <c r="H39" s="7" t="s">
        <v>775</v>
      </c>
      <c r="I39" s="7" t="s">
        <v>514</v>
      </c>
      <c r="J39" s="7" t="s">
        <v>517</v>
      </c>
      <c r="K39" s="8" t="s">
        <v>250</v>
      </c>
    </row>
    <row r="40" spans="1:11" ht="30" customHeight="1">
      <c r="A40" s="7" t="s">
        <v>815</v>
      </c>
      <c r="B40" s="7" t="s">
        <v>398</v>
      </c>
      <c r="C40" s="7" t="s">
        <v>239</v>
      </c>
      <c r="D40" s="7" t="s">
        <v>783</v>
      </c>
      <c r="E40" s="9">
        <v>716.4</v>
      </c>
      <c r="F40" s="10">
        <v>16.96</v>
      </c>
      <c r="G40" s="7" t="s">
        <v>731</v>
      </c>
      <c r="H40" s="7" t="s">
        <v>775</v>
      </c>
      <c r="I40" s="7" t="s">
        <v>514</v>
      </c>
      <c r="J40" s="7" t="s">
        <v>517</v>
      </c>
      <c r="K40" s="8" t="s">
        <v>250</v>
      </c>
    </row>
    <row r="41" spans="1:11" ht="30" customHeight="1">
      <c r="A41" s="7" t="s">
        <v>816</v>
      </c>
      <c r="B41" s="7" t="s">
        <v>398</v>
      </c>
      <c r="C41" s="7" t="s">
        <v>239</v>
      </c>
      <c r="D41" s="7" t="s">
        <v>794</v>
      </c>
      <c r="E41" s="10">
        <v>110.25</v>
      </c>
      <c r="F41" s="9">
        <v>0.1</v>
      </c>
      <c r="G41" s="7" t="s">
        <v>731</v>
      </c>
      <c r="H41" s="7" t="s">
        <v>775</v>
      </c>
      <c r="I41" s="7" t="s">
        <v>514</v>
      </c>
      <c r="J41" s="7" t="s">
        <v>517</v>
      </c>
      <c r="K41" s="8" t="s">
        <v>250</v>
      </c>
    </row>
    <row r="42" spans="1:11" ht="30" customHeight="1">
      <c r="A42" s="7" t="s">
        <v>817</v>
      </c>
      <c r="B42" s="7" t="s">
        <v>398</v>
      </c>
      <c r="C42" s="7" t="s">
        <v>239</v>
      </c>
      <c r="D42" s="7" t="s">
        <v>785</v>
      </c>
      <c r="E42" s="10">
        <v>208.25</v>
      </c>
      <c r="F42" s="10">
        <v>0.19</v>
      </c>
      <c r="G42" s="7" t="s">
        <v>731</v>
      </c>
      <c r="H42" s="7" t="s">
        <v>775</v>
      </c>
      <c r="I42" s="7" t="s">
        <v>514</v>
      </c>
      <c r="J42" s="7" t="s">
        <v>517</v>
      </c>
      <c r="K42" s="8" t="s">
        <v>250</v>
      </c>
    </row>
    <row r="43" spans="1:11" ht="30" customHeight="1">
      <c r="A43" s="7" t="s">
        <v>818</v>
      </c>
      <c r="B43" s="7" t="s">
        <v>398</v>
      </c>
      <c r="C43" s="7" t="s">
        <v>239</v>
      </c>
      <c r="D43" s="7" t="s">
        <v>787</v>
      </c>
      <c r="E43" s="9">
        <v>716.4</v>
      </c>
      <c r="F43" s="10">
        <v>1.1599999999999999</v>
      </c>
      <c r="G43" s="7" t="s">
        <v>731</v>
      </c>
      <c r="H43" s="7" t="s">
        <v>775</v>
      </c>
      <c r="I43" s="7" t="s">
        <v>514</v>
      </c>
      <c r="J43" s="7" t="s">
        <v>517</v>
      </c>
      <c r="K43" s="8" t="s">
        <v>250</v>
      </c>
    </row>
    <row r="44" spans="1:11" ht="30" customHeight="1">
      <c r="A44" s="7" t="s">
        <v>819</v>
      </c>
      <c r="B44" s="7" t="s">
        <v>400</v>
      </c>
      <c r="C44" s="7" t="s">
        <v>239</v>
      </c>
      <c r="D44" s="7" t="s">
        <v>774</v>
      </c>
      <c r="E44" s="14"/>
      <c r="F44" s="9">
        <v>73.099999999999994</v>
      </c>
      <c r="G44" s="7" t="s">
        <v>759</v>
      </c>
      <c r="H44" s="7" t="s">
        <v>775</v>
      </c>
      <c r="I44" s="7" t="s">
        <v>514</v>
      </c>
      <c r="J44" s="7" t="s">
        <v>517</v>
      </c>
      <c r="K44" s="8" t="s">
        <v>250</v>
      </c>
    </row>
    <row r="45" spans="1:11" ht="30" customHeight="1">
      <c r="A45" s="7" t="s">
        <v>820</v>
      </c>
      <c r="B45" s="7" t="s">
        <v>400</v>
      </c>
      <c r="C45" s="7" t="s">
        <v>239</v>
      </c>
      <c r="D45" s="7" t="s">
        <v>777</v>
      </c>
      <c r="E45" s="14"/>
      <c r="F45" s="9">
        <v>575.79999999999995</v>
      </c>
      <c r="G45" s="7" t="s">
        <v>759</v>
      </c>
      <c r="H45" s="7" t="s">
        <v>775</v>
      </c>
      <c r="I45" s="7" t="s">
        <v>514</v>
      </c>
      <c r="J45" s="7" t="s">
        <v>517</v>
      </c>
      <c r="K45" s="8" t="s">
        <v>250</v>
      </c>
    </row>
    <row r="46" spans="1:11" ht="30" customHeight="1">
      <c r="A46" s="7" t="s">
        <v>821</v>
      </c>
      <c r="B46" s="7" t="s">
        <v>400</v>
      </c>
      <c r="C46" s="7" t="s">
        <v>239</v>
      </c>
      <c r="D46" s="7" t="s">
        <v>779</v>
      </c>
      <c r="E46" s="10">
        <v>110.25</v>
      </c>
      <c r="F46" s="10">
        <v>1.86</v>
      </c>
      <c r="G46" s="7" t="s">
        <v>731</v>
      </c>
      <c r="H46" s="7" t="s">
        <v>775</v>
      </c>
      <c r="I46" s="7" t="s">
        <v>514</v>
      </c>
      <c r="J46" s="7" t="s">
        <v>517</v>
      </c>
      <c r="K46" s="8" t="s">
        <v>250</v>
      </c>
    </row>
    <row r="47" spans="1:11" ht="30" customHeight="1">
      <c r="A47" s="7" t="s">
        <v>822</v>
      </c>
      <c r="B47" s="7" t="s">
        <v>400</v>
      </c>
      <c r="C47" s="7" t="s">
        <v>239</v>
      </c>
      <c r="D47" s="7" t="s">
        <v>781</v>
      </c>
      <c r="E47" s="10">
        <v>208.25</v>
      </c>
      <c r="F47" s="10">
        <v>5.58</v>
      </c>
      <c r="G47" s="7" t="s">
        <v>731</v>
      </c>
      <c r="H47" s="7" t="s">
        <v>775</v>
      </c>
      <c r="I47" s="7" t="s">
        <v>514</v>
      </c>
      <c r="J47" s="7" t="s">
        <v>517</v>
      </c>
      <c r="K47" s="8" t="s">
        <v>250</v>
      </c>
    </row>
    <row r="48" spans="1:11" ht="30" customHeight="1">
      <c r="A48" s="7" t="s">
        <v>823</v>
      </c>
      <c r="B48" s="7" t="s">
        <v>400</v>
      </c>
      <c r="C48" s="7" t="s">
        <v>239</v>
      </c>
      <c r="D48" s="7" t="s">
        <v>783</v>
      </c>
      <c r="E48" s="9">
        <v>575.79999999999995</v>
      </c>
      <c r="F48" s="10">
        <v>24.86</v>
      </c>
      <c r="G48" s="7" t="s">
        <v>731</v>
      </c>
      <c r="H48" s="7" t="s">
        <v>775</v>
      </c>
      <c r="I48" s="7" t="s">
        <v>514</v>
      </c>
      <c r="J48" s="7" t="s">
        <v>517</v>
      </c>
      <c r="K48" s="8" t="s">
        <v>250</v>
      </c>
    </row>
    <row r="49" spans="1:11" ht="30" customHeight="1">
      <c r="A49" s="7" t="s">
        <v>824</v>
      </c>
      <c r="B49" s="7" t="s">
        <v>400</v>
      </c>
      <c r="C49" s="7" t="s">
        <v>239</v>
      </c>
      <c r="D49" s="7" t="s">
        <v>794</v>
      </c>
      <c r="E49" s="10">
        <v>110.25</v>
      </c>
      <c r="F49" s="10">
        <v>0.35</v>
      </c>
      <c r="G49" s="7" t="s">
        <v>731</v>
      </c>
      <c r="H49" s="7" t="s">
        <v>775</v>
      </c>
      <c r="I49" s="7" t="s">
        <v>514</v>
      </c>
      <c r="J49" s="7" t="s">
        <v>517</v>
      </c>
      <c r="K49" s="8" t="s">
        <v>250</v>
      </c>
    </row>
    <row r="50" spans="1:11" ht="30" customHeight="1">
      <c r="A50" s="7" t="s">
        <v>825</v>
      </c>
      <c r="B50" s="7" t="s">
        <v>400</v>
      </c>
      <c r="C50" s="7" t="s">
        <v>239</v>
      </c>
      <c r="D50" s="7" t="s">
        <v>785</v>
      </c>
      <c r="E50" s="10">
        <v>208.25</v>
      </c>
      <c r="F50" s="10">
        <v>0.52</v>
      </c>
      <c r="G50" s="7" t="s">
        <v>731</v>
      </c>
      <c r="H50" s="7" t="s">
        <v>775</v>
      </c>
      <c r="I50" s="7" t="s">
        <v>514</v>
      </c>
      <c r="J50" s="7" t="s">
        <v>517</v>
      </c>
      <c r="K50" s="8" t="s">
        <v>250</v>
      </c>
    </row>
    <row r="51" spans="1:11" ht="30" customHeight="1">
      <c r="A51" s="7" t="s">
        <v>826</v>
      </c>
      <c r="B51" s="7" t="s">
        <v>402</v>
      </c>
      <c r="C51" s="7" t="s">
        <v>239</v>
      </c>
      <c r="D51" s="7" t="s">
        <v>774</v>
      </c>
      <c r="E51" s="14"/>
      <c r="F51" s="15">
        <v>121</v>
      </c>
      <c r="G51" s="7" t="s">
        <v>759</v>
      </c>
      <c r="H51" s="7" t="s">
        <v>775</v>
      </c>
      <c r="I51" s="7" t="s">
        <v>514</v>
      </c>
      <c r="J51" s="7" t="s">
        <v>517</v>
      </c>
      <c r="K51" s="8" t="s">
        <v>250</v>
      </c>
    </row>
    <row r="52" spans="1:11" ht="30" customHeight="1">
      <c r="A52" s="7" t="s">
        <v>827</v>
      </c>
      <c r="B52" s="7" t="s">
        <v>402</v>
      </c>
      <c r="C52" s="7" t="s">
        <v>239</v>
      </c>
      <c r="D52" s="7" t="s">
        <v>777</v>
      </c>
      <c r="E52" s="14"/>
      <c r="F52" s="9">
        <v>436.4</v>
      </c>
      <c r="G52" s="7" t="s">
        <v>759</v>
      </c>
      <c r="H52" s="7" t="s">
        <v>775</v>
      </c>
      <c r="I52" s="7" t="s">
        <v>514</v>
      </c>
      <c r="J52" s="7" t="s">
        <v>517</v>
      </c>
      <c r="K52" s="8" t="s">
        <v>250</v>
      </c>
    </row>
    <row r="53" spans="1:11" ht="30" customHeight="1">
      <c r="A53" s="7" t="s">
        <v>828</v>
      </c>
      <c r="B53" s="7" t="s">
        <v>402</v>
      </c>
      <c r="C53" s="7" t="s">
        <v>239</v>
      </c>
      <c r="D53" s="7" t="s">
        <v>779</v>
      </c>
      <c r="E53" s="10">
        <v>110.25</v>
      </c>
      <c r="F53" s="10">
        <v>1.93</v>
      </c>
      <c r="G53" s="7" t="s">
        <v>731</v>
      </c>
      <c r="H53" s="7" t="s">
        <v>775</v>
      </c>
      <c r="I53" s="7" t="s">
        <v>514</v>
      </c>
      <c r="J53" s="7" t="s">
        <v>517</v>
      </c>
      <c r="K53" s="8" t="s">
        <v>250</v>
      </c>
    </row>
    <row r="54" spans="1:11" ht="30" customHeight="1">
      <c r="A54" s="7" t="s">
        <v>829</v>
      </c>
      <c r="B54" s="7" t="s">
        <v>402</v>
      </c>
      <c r="C54" s="7" t="s">
        <v>239</v>
      </c>
      <c r="D54" s="7" t="s">
        <v>781</v>
      </c>
      <c r="E54" s="10">
        <v>208.25</v>
      </c>
      <c r="F54" s="10">
        <v>11.56</v>
      </c>
      <c r="G54" s="7" t="s">
        <v>731</v>
      </c>
      <c r="H54" s="7" t="s">
        <v>775</v>
      </c>
      <c r="I54" s="7" t="s">
        <v>514</v>
      </c>
      <c r="J54" s="7" t="s">
        <v>517</v>
      </c>
      <c r="K54" s="8" t="s">
        <v>250</v>
      </c>
    </row>
    <row r="55" spans="1:11" ht="30" customHeight="1">
      <c r="A55" s="7" t="s">
        <v>830</v>
      </c>
      <c r="B55" s="7" t="s">
        <v>402</v>
      </c>
      <c r="C55" s="7" t="s">
        <v>239</v>
      </c>
      <c r="D55" s="7" t="s">
        <v>783</v>
      </c>
      <c r="E55" s="9">
        <v>436.4</v>
      </c>
      <c r="F55" s="10">
        <v>35.49</v>
      </c>
      <c r="G55" s="7" t="s">
        <v>731</v>
      </c>
      <c r="H55" s="7" t="s">
        <v>775</v>
      </c>
      <c r="I55" s="7" t="s">
        <v>514</v>
      </c>
      <c r="J55" s="7" t="s">
        <v>517</v>
      </c>
      <c r="K55" s="8" t="s">
        <v>250</v>
      </c>
    </row>
    <row r="56" spans="1:11" ht="30" customHeight="1">
      <c r="A56" s="7" t="s">
        <v>831</v>
      </c>
      <c r="B56" s="7" t="s">
        <v>402</v>
      </c>
      <c r="C56" s="7" t="s">
        <v>239</v>
      </c>
      <c r="D56" s="7" t="s">
        <v>785</v>
      </c>
      <c r="E56" s="10">
        <v>208.25</v>
      </c>
      <c r="F56" s="10">
        <v>0.93</v>
      </c>
      <c r="G56" s="7" t="s">
        <v>731</v>
      </c>
      <c r="H56" s="7" t="s">
        <v>775</v>
      </c>
      <c r="I56" s="7" t="s">
        <v>514</v>
      </c>
      <c r="J56" s="7" t="s">
        <v>517</v>
      </c>
      <c r="K56" s="8" t="s">
        <v>250</v>
      </c>
    </row>
    <row r="57" spans="1:11" ht="30" customHeight="1">
      <c r="A57" s="7" t="s">
        <v>832</v>
      </c>
      <c r="B57" s="7" t="s">
        <v>402</v>
      </c>
      <c r="C57" s="7" t="s">
        <v>239</v>
      </c>
      <c r="D57" s="7" t="s">
        <v>787</v>
      </c>
      <c r="E57" s="9">
        <v>436.4</v>
      </c>
      <c r="F57" s="10">
        <v>5.81</v>
      </c>
      <c r="G57" s="7" t="s">
        <v>731</v>
      </c>
      <c r="H57" s="7" t="s">
        <v>775</v>
      </c>
      <c r="I57" s="7" t="s">
        <v>514</v>
      </c>
      <c r="J57" s="7" t="s">
        <v>517</v>
      </c>
      <c r="K57" s="8" t="s">
        <v>250</v>
      </c>
    </row>
    <row r="58" spans="1:11" ht="30" customHeight="1">
      <c r="A58" s="7" t="s">
        <v>833</v>
      </c>
      <c r="B58" s="7" t="s">
        <v>522</v>
      </c>
      <c r="C58" s="7" t="s">
        <v>134</v>
      </c>
      <c r="D58" s="7" t="s">
        <v>774</v>
      </c>
      <c r="E58" s="14"/>
      <c r="F58" s="15">
        <v>115</v>
      </c>
      <c r="G58" s="7" t="s">
        <v>759</v>
      </c>
      <c r="H58" s="7" t="s">
        <v>775</v>
      </c>
      <c r="I58" s="7" t="s">
        <v>514</v>
      </c>
      <c r="J58" s="7" t="s">
        <v>145</v>
      </c>
      <c r="K58" s="8" t="s">
        <v>146</v>
      </c>
    </row>
    <row r="59" spans="1:11" ht="30" customHeight="1">
      <c r="A59" s="7" t="s">
        <v>834</v>
      </c>
      <c r="B59" s="7" t="s">
        <v>522</v>
      </c>
      <c r="C59" s="7" t="s">
        <v>134</v>
      </c>
      <c r="D59" s="7" t="s">
        <v>777</v>
      </c>
      <c r="E59" s="14"/>
      <c r="F59" s="15">
        <v>732</v>
      </c>
      <c r="G59" s="7" t="s">
        <v>759</v>
      </c>
      <c r="H59" s="7" t="s">
        <v>775</v>
      </c>
      <c r="I59" s="7" t="s">
        <v>514</v>
      </c>
      <c r="J59" s="7" t="s">
        <v>145</v>
      </c>
      <c r="K59" s="8" t="s">
        <v>146</v>
      </c>
    </row>
    <row r="60" spans="1:11" ht="30" customHeight="1">
      <c r="A60" s="7" t="s">
        <v>835</v>
      </c>
      <c r="B60" s="7" t="s">
        <v>522</v>
      </c>
      <c r="C60" s="7" t="s">
        <v>134</v>
      </c>
      <c r="D60" s="7" t="s">
        <v>779</v>
      </c>
      <c r="E60" s="10">
        <v>110.25</v>
      </c>
      <c r="F60" s="10">
        <v>0.45</v>
      </c>
      <c r="G60" s="7" t="s">
        <v>731</v>
      </c>
      <c r="H60" s="7" t="s">
        <v>775</v>
      </c>
      <c r="I60" s="7" t="s">
        <v>514</v>
      </c>
      <c r="J60" s="7" t="s">
        <v>145</v>
      </c>
      <c r="K60" s="8" t="s">
        <v>146</v>
      </c>
    </row>
    <row r="61" spans="1:11" ht="30" customHeight="1">
      <c r="A61" s="7" t="s">
        <v>836</v>
      </c>
      <c r="B61" s="7" t="s">
        <v>522</v>
      </c>
      <c r="C61" s="7" t="s">
        <v>134</v>
      </c>
      <c r="D61" s="7" t="s">
        <v>783</v>
      </c>
      <c r="E61" s="15">
        <v>732</v>
      </c>
      <c r="F61" s="9">
        <v>22.9</v>
      </c>
      <c r="G61" s="7" t="s">
        <v>731</v>
      </c>
      <c r="H61" s="7" t="s">
        <v>775</v>
      </c>
      <c r="I61" s="7" t="s">
        <v>514</v>
      </c>
      <c r="J61" s="7" t="s">
        <v>145</v>
      </c>
      <c r="K61" s="8" t="s">
        <v>146</v>
      </c>
    </row>
    <row r="62" spans="1:11" ht="30" customHeight="1">
      <c r="A62" s="7" t="s">
        <v>837</v>
      </c>
      <c r="B62" s="7" t="s">
        <v>526</v>
      </c>
      <c r="C62" s="7" t="s">
        <v>134</v>
      </c>
      <c r="D62" s="7" t="s">
        <v>774</v>
      </c>
      <c r="E62" s="14"/>
      <c r="F62" s="15">
        <v>113</v>
      </c>
      <c r="G62" s="7" t="s">
        <v>759</v>
      </c>
      <c r="H62" s="7" t="s">
        <v>775</v>
      </c>
      <c r="I62" s="7" t="s">
        <v>514</v>
      </c>
      <c r="J62" s="7" t="s">
        <v>145</v>
      </c>
      <c r="K62" s="8" t="s">
        <v>146</v>
      </c>
    </row>
    <row r="63" spans="1:11" ht="30" customHeight="1">
      <c r="A63" s="7" t="s">
        <v>838</v>
      </c>
      <c r="B63" s="7" t="s">
        <v>526</v>
      </c>
      <c r="C63" s="7" t="s">
        <v>134</v>
      </c>
      <c r="D63" s="7" t="s">
        <v>777</v>
      </c>
      <c r="E63" s="14"/>
      <c r="F63" s="15">
        <v>484</v>
      </c>
      <c r="G63" s="7" t="s">
        <v>759</v>
      </c>
      <c r="H63" s="7" t="s">
        <v>775</v>
      </c>
      <c r="I63" s="7" t="s">
        <v>514</v>
      </c>
      <c r="J63" s="7" t="s">
        <v>145</v>
      </c>
      <c r="K63" s="8" t="s">
        <v>146</v>
      </c>
    </row>
    <row r="64" spans="1:11" ht="30" customHeight="1">
      <c r="A64" s="7" t="s">
        <v>839</v>
      </c>
      <c r="B64" s="7" t="s">
        <v>526</v>
      </c>
      <c r="C64" s="7" t="s">
        <v>134</v>
      </c>
      <c r="D64" s="7" t="s">
        <v>779</v>
      </c>
      <c r="E64" s="10">
        <v>110.25</v>
      </c>
      <c r="F64" s="10">
        <v>0.72</v>
      </c>
      <c r="G64" s="7" t="s">
        <v>731</v>
      </c>
      <c r="H64" s="7" t="s">
        <v>775</v>
      </c>
      <c r="I64" s="7" t="s">
        <v>514</v>
      </c>
      <c r="J64" s="7" t="s">
        <v>145</v>
      </c>
      <c r="K64" s="8" t="s">
        <v>146</v>
      </c>
    </row>
    <row r="65" spans="1:11" ht="30" customHeight="1">
      <c r="A65" s="7" t="s">
        <v>840</v>
      </c>
      <c r="B65" s="7" t="s">
        <v>526</v>
      </c>
      <c r="C65" s="7" t="s">
        <v>134</v>
      </c>
      <c r="D65" s="7" t="s">
        <v>783</v>
      </c>
      <c r="E65" s="15">
        <v>484</v>
      </c>
      <c r="F65" s="9">
        <v>17.899999999999999</v>
      </c>
      <c r="G65" s="7" t="s">
        <v>731</v>
      </c>
      <c r="H65" s="7" t="s">
        <v>775</v>
      </c>
      <c r="I65" s="7" t="s">
        <v>514</v>
      </c>
      <c r="J65" s="7" t="s">
        <v>145</v>
      </c>
      <c r="K65" s="8" t="s">
        <v>146</v>
      </c>
    </row>
    <row r="66" spans="1:11" ht="30" customHeight="1">
      <c r="A66" s="7" t="s">
        <v>841</v>
      </c>
      <c r="B66" s="7" t="s">
        <v>528</v>
      </c>
      <c r="C66" s="7" t="s">
        <v>134</v>
      </c>
      <c r="D66" s="7" t="s">
        <v>774</v>
      </c>
      <c r="E66" s="14"/>
      <c r="F66" s="15">
        <v>107</v>
      </c>
      <c r="G66" s="7" t="s">
        <v>759</v>
      </c>
      <c r="H66" s="7" t="s">
        <v>775</v>
      </c>
      <c r="I66" s="7" t="s">
        <v>514</v>
      </c>
      <c r="J66" s="7" t="s">
        <v>145</v>
      </c>
      <c r="K66" s="8" t="s">
        <v>146</v>
      </c>
    </row>
    <row r="67" spans="1:11" ht="30" customHeight="1">
      <c r="A67" s="7" t="s">
        <v>842</v>
      </c>
      <c r="B67" s="7" t="s">
        <v>528</v>
      </c>
      <c r="C67" s="7" t="s">
        <v>134</v>
      </c>
      <c r="D67" s="7" t="s">
        <v>777</v>
      </c>
      <c r="E67" s="14"/>
      <c r="F67" s="15">
        <v>362</v>
      </c>
      <c r="G67" s="7" t="s">
        <v>759</v>
      </c>
      <c r="H67" s="7" t="s">
        <v>775</v>
      </c>
      <c r="I67" s="7" t="s">
        <v>514</v>
      </c>
      <c r="J67" s="7" t="s">
        <v>145</v>
      </c>
      <c r="K67" s="8" t="s">
        <v>146</v>
      </c>
    </row>
    <row r="68" spans="1:11" ht="30" customHeight="1">
      <c r="A68" s="7" t="s">
        <v>843</v>
      </c>
      <c r="B68" s="7" t="s">
        <v>528</v>
      </c>
      <c r="C68" s="7" t="s">
        <v>134</v>
      </c>
      <c r="D68" s="7" t="s">
        <v>779</v>
      </c>
      <c r="E68" s="10">
        <v>110.25</v>
      </c>
      <c r="F68" s="10">
        <v>1.49</v>
      </c>
      <c r="G68" s="7" t="s">
        <v>731</v>
      </c>
      <c r="H68" s="7" t="s">
        <v>775</v>
      </c>
      <c r="I68" s="7" t="s">
        <v>514</v>
      </c>
      <c r="J68" s="7" t="s">
        <v>145</v>
      </c>
      <c r="K68" s="8" t="s">
        <v>146</v>
      </c>
    </row>
    <row r="69" spans="1:11" ht="30" customHeight="1">
      <c r="A69" s="7" t="s">
        <v>844</v>
      </c>
      <c r="B69" s="7" t="s">
        <v>528</v>
      </c>
      <c r="C69" s="7" t="s">
        <v>134</v>
      </c>
      <c r="D69" s="7" t="s">
        <v>783</v>
      </c>
      <c r="E69" s="15">
        <v>362</v>
      </c>
      <c r="F69" s="9">
        <v>17.100000000000001</v>
      </c>
      <c r="G69" s="7" t="s">
        <v>731</v>
      </c>
      <c r="H69" s="7" t="s">
        <v>775</v>
      </c>
      <c r="I69" s="7" t="s">
        <v>514</v>
      </c>
      <c r="J69" s="7" t="s">
        <v>145</v>
      </c>
      <c r="K69" s="8" t="s">
        <v>146</v>
      </c>
    </row>
    <row r="70" spans="1:11" ht="30" customHeight="1">
      <c r="A70" s="7" t="s">
        <v>845</v>
      </c>
      <c r="B70" s="7" t="s">
        <v>530</v>
      </c>
      <c r="C70" s="7" t="s">
        <v>134</v>
      </c>
      <c r="D70" s="7" t="s">
        <v>774</v>
      </c>
      <c r="E70" s="14"/>
      <c r="F70" s="15">
        <v>130</v>
      </c>
      <c r="G70" s="7" t="s">
        <v>759</v>
      </c>
      <c r="H70" s="7" t="s">
        <v>775</v>
      </c>
      <c r="I70" s="7" t="s">
        <v>514</v>
      </c>
      <c r="J70" s="7" t="s">
        <v>145</v>
      </c>
      <c r="K70" s="8" t="s">
        <v>146</v>
      </c>
    </row>
    <row r="71" spans="1:11" ht="30" customHeight="1">
      <c r="A71" s="7" t="s">
        <v>846</v>
      </c>
      <c r="B71" s="7" t="s">
        <v>530</v>
      </c>
      <c r="C71" s="7" t="s">
        <v>134</v>
      </c>
      <c r="D71" s="7" t="s">
        <v>777</v>
      </c>
      <c r="E71" s="14"/>
      <c r="F71" s="15">
        <v>704</v>
      </c>
      <c r="G71" s="7" t="s">
        <v>759</v>
      </c>
      <c r="H71" s="7" t="s">
        <v>775</v>
      </c>
      <c r="I71" s="7" t="s">
        <v>514</v>
      </c>
      <c r="J71" s="7" t="s">
        <v>145</v>
      </c>
      <c r="K71" s="8" t="s">
        <v>146</v>
      </c>
    </row>
    <row r="72" spans="1:11" ht="30" customHeight="1">
      <c r="A72" s="7" t="s">
        <v>847</v>
      </c>
      <c r="B72" s="7" t="s">
        <v>530</v>
      </c>
      <c r="C72" s="7" t="s">
        <v>134</v>
      </c>
      <c r="D72" s="7" t="s">
        <v>779</v>
      </c>
      <c r="E72" s="10">
        <v>110.25</v>
      </c>
      <c r="F72" s="10">
        <v>0.45</v>
      </c>
      <c r="G72" s="7" t="s">
        <v>731</v>
      </c>
      <c r="H72" s="7" t="s">
        <v>775</v>
      </c>
      <c r="I72" s="7" t="s">
        <v>514</v>
      </c>
      <c r="J72" s="7" t="s">
        <v>145</v>
      </c>
      <c r="K72" s="8" t="s">
        <v>146</v>
      </c>
    </row>
    <row r="73" spans="1:11" ht="30" customHeight="1">
      <c r="A73" s="7" t="s">
        <v>848</v>
      </c>
      <c r="B73" s="7" t="s">
        <v>530</v>
      </c>
      <c r="C73" s="7" t="s">
        <v>134</v>
      </c>
      <c r="D73" s="7" t="s">
        <v>783</v>
      </c>
      <c r="E73" s="15">
        <v>704</v>
      </c>
      <c r="F73" s="9">
        <v>21.7</v>
      </c>
      <c r="G73" s="7" t="s">
        <v>731</v>
      </c>
      <c r="H73" s="7" t="s">
        <v>775</v>
      </c>
      <c r="I73" s="7" t="s">
        <v>514</v>
      </c>
      <c r="J73" s="7" t="s">
        <v>145</v>
      </c>
      <c r="K73" s="8" t="s">
        <v>146</v>
      </c>
    </row>
    <row r="74" spans="1:11" ht="30" customHeight="1">
      <c r="A74" s="7" t="s">
        <v>849</v>
      </c>
      <c r="B74" s="7" t="s">
        <v>532</v>
      </c>
      <c r="C74" s="7" t="s">
        <v>134</v>
      </c>
      <c r="D74" s="7" t="s">
        <v>774</v>
      </c>
      <c r="E74" s="14"/>
      <c r="F74" s="15">
        <v>118</v>
      </c>
      <c r="G74" s="7" t="s">
        <v>759</v>
      </c>
      <c r="H74" s="7" t="s">
        <v>775</v>
      </c>
      <c r="I74" s="7" t="s">
        <v>514</v>
      </c>
      <c r="J74" s="7" t="s">
        <v>145</v>
      </c>
      <c r="K74" s="8" t="s">
        <v>146</v>
      </c>
    </row>
    <row r="75" spans="1:11" ht="30" customHeight="1">
      <c r="A75" s="7" t="s">
        <v>850</v>
      </c>
      <c r="B75" s="7" t="s">
        <v>532</v>
      </c>
      <c r="C75" s="7" t="s">
        <v>134</v>
      </c>
      <c r="D75" s="7" t="s">
        <v>777</v>
      </c>
      <c r="E75" s="14"/>
      <c r="F75" s="15">
        <v>549</v>
      </c>
      <c r="G75" s="7" t="s">
        <v>759</v>
      </c>
      <c r="H75" s="7" t="s">
        <v>775</v>
      </c>
      <c r="I75" s="7" t="s">
        <v>514</v>
      </c>
      <c r="J75" s="7" t="s">
        <v>145</v>
      </c>
      <c r="K75" s="8" t="s">
        <v>146</v>
      </c>
    </row>
    <row r="76" spans="1:11" ht="30" customHeight="1">
      <c r="A76" s="7" t="s">
        <v>851</v>
      </c>
      <c r="B76" s="7" t="s">
        <v>532</v>
      </c>
      <c r="C76" s="7" t="s">
        <v>134</v>
      </c>
      <c r="D76" s="7" t="s">
        <v>779</v>
      </c>
      <c r="E76" s="10">
        <v>110.25</v>
      </c>
      <c r="F76" s="10">
        <v>0.48</v>
      </c>
      <c r="G76" s="7" t="s">
        <v>731</v>
      </c>
      <c r="H76" s="7" t="s">
        <v>775</v>
      </c>
      <c r="I76" s="7" t="s">
        <v>514</v>
      </c>
      <c r="J76" s="7" t="s">
        <v>145</v>
      </c>
      <c r="K76" s="8" t="s">
        <v>146</v>
      </c>
    </row>
    <row r="77" spans="1:11" ht="30" customHeight="1">
      <c r="A77" s="7" t="s">
        <v>852</v>
      </c>
      <c r="B77" s="7" t="s">
        <v>532</v>
      </c>
      <c r="C77" s="7" t="s">
        <v>134</v>
      </c>
      <c r="D77" s="7" t="s">
        <v>783</v>
      </c>
      <c r="E77" s="15">
        <v>549</v>
      </c>
      <c r="F77" s="9">
        <v>20.399999999999999</v>
      </c>
      <c r="G77" s="7" t="s">
        <v>731</v>
      </c>
      <c r="H77" s="7" t="s">
        <v>775</v>
      </c>
      <c r="I77" s="7" t="s">
        <v>514</v>
      </c>
      <c r="J77" s="7" t="s">
        <v>145</v>
      </c>
      <c r="K77" s="8" t="s">
        <v>146</v>
      </c>
    </row>
    <row r="78" spans="1:11" ht="30" customHeight="1">
      <c r="A78" s="7" t="s">
        <v>853</v>
      </c>
      <c r="B78" s="7" t="s">
        <v>534</v>
      </c>
      <c r="C78" s="7" t="s">
        <v>134</v>
      </c>
      <c r="D78" s="7" t="s">
        <v>774</v>
      </c>
      <c r="E78" s="14"/>
      <c r="F78" s="15">
        <v>98</v>
      </c>
      <c r="G78" s="7" t="s">
        <v>759</v>
      </c>
      <c r="H78" s="7" t="s">
        <v>775</v>
      </c>
      <c r="I78" s="7" t="s">
        <v>514</v>
      </c>
      <c r="J78" s="7" t="s">
        <v>145</v>
      </c>
      <c r="K78" s="8" t="s">
        <v>146</v>
      </c>
    </row>
    <row r="79" spans="1:11" ht="30" customHeight="1">
      <c r="A79" s="7" t="s">
        <v>854</v>
      </c>
      <c r="B79" s="7" t="s">
        <v>534</v>
      </c>
      <c r="C79" s="7" t="s">
        <v>134</v>
      </c>
      <c r="D79" s="7" t="s">
        <v>777</v>
      </c>
      <c r="E79" s="14"/>
      <c r="F79" s="15">
        <v>506</v>
      </c>
      <c r="G79" s="7" t="s">
        <v>759</v>
      </c>
      <c r="H79" s="7" t="s">
        <v>775</v>
      </c>
      <c r="I79" s="7" t="s">
        <v>514</v>
      </c>
      <c r="J79" s="7" t="s">
        <v>145</v>
      </c>
      <c r="K79" s="8" t="s">
        <v>146</v>
      </c>
    </row>
    <row r="80" spans="1:11" ht="30" customHeight="1">
      <c r="A80" s="7" t="s">
        <v>855</v>
      </c>
      <c r="B80" s="7" t="s">
        <v>534</v>
      </c>
      <c r="C80" s="7" t="s">
        <v>134</v>
      </c>
      <c r="D80" s="7" t="s">
        <v>779</v>
      </c>
      <c r="E80" s="10">
        <v>110.25</v>
      </c>
      <c r="F80" s="10">
        <v>1.04</v>
      </c>
      <c r="G80" s="7" t="s">
        <v>731</v>
      </c>
      <c r="H80" s="7" t="s">
        <v>775</v>
      </c>
      <c r="I80" s="7" t="s">
        <v>514</v>
      </c>
      <c r="J80" s="7" t="s">
        <v>145</v>
      </c>
      <c r="K80" s="8" t="s">
        <v>146</v>
      </c>
    </row>
    <row r="81" spans="1:11" ht="30" customHeight="1">
      <c r="A81" s="7" t="s">
        <v>856</v>
      </c>
      <c r="B81" s="7" t="s">
        <v>534</v>
      </c>
      <c r="C81" s="7" t="s">
        <v>134</v>
      </c>
      <c r="D81" s="7" t="s">
        <v>783</v>
      </c>
      <c r="E81" s="15">
        <v>506</v>
      </c>
      <c r="F81" s="9">
        <v>26.4</v>
      </c>
      <c r="G81" s="7" t="s">
        <v>731</v>
      </c>
      <c r="H81" s="7" t="s">
        <v>775</v>
      </c>
      <c r="I81" s="7" t="s">
        <v>514</v>
      </c>
      <c r="J81" s="7" t="s">
        <v>145</v>
      </c>
      <c r="K81" s="8" t="s">
        <v>146</v>
      </c>
    </row>
    <row r="82" spans="1:11" ht="30" customHeight="1">
      <c r="A82" s="7" t="s">
        <v>857</v>
      </c>
      <c r="B82" s="7" t="s">
        <v>536</v>
      </c>
      <c r="C82" s="7" t="s">
        <v>134</v>
      </c>
      <c r="D82" s="7" t="s">
        <v>774</v>
      </c>
      <c r="E82" s="14"/>
      <c r="F82" s="15">
        <v>121</v>
      </c>
      <c r="G82" s="7" t="s">
        <v>759</v>
      </c>
      <c r="H82" s="7" t="s">
        <v>775</v>
      </c>
      <c r="I82" s="7" t="s">
        <v>514</v>
      </c>
      <c r="J82" s="7" t="s">
        <v>145</v>
      </c>
      <c r="K82" s="8" t="s">
        <v>146</v>
      </c>
    </row>
    <row r="83" spans="1:11" ht="30" customHeight="1">
      <c r="A83" s="7" t="s">
        <v>858</v>
      </c>
      <c r="B83" s="7" t="s">
        <v>536</v>
      </c>
      <c r="C83" s="7" t="s">
        <v>134</v>
      </c>
      <c r="D83" s="7" t="s">
        <v>777</v>
      </c>
      <c r="E83" s="14"/>
      <c r="F83" s="15">
        <v>550</v>
      </c>
      <c r="G83" s="7" t="s">
        <v>759</v>
      </c>
      <c r="H83" s="7" t="s">
        <v>775</v>
      </c>
      <c r="I83" s="7" t="s">
        <v>514</v>
      </c>
      <c r="J83" s="7" t="s">
        <v>145</v>
      </c>
      <c r="K83" s="8" t="s">
        <v>146</v>
      </c>
    </row>
    <row r="84" spans="1:11" ht="30" customHeight="1">
      <c r="A84" s="7" t="s">
        <v>859</v>
      </c>
      <c r="B84" s="7" t="s">
        <v>536</v>
      </c>
      <c r="C84" s="7" t="s">
        <v>134</v>
      </c>
      <c r="D84" s="7" t="s">
        <v>779</v>
      </c>
      <c r="E84" s="10">
        <v>110.25</v>
      </c>
      <c r="F84" s="10">
        <v>0.52</v>
      </c>
      <c r="G84" s="7" t="s">
        <v>731</v>
      </c>
      <c r="H84" s="7" t="s">
        <v>775</v>
      </c>
      <c r="I84" s="7" t="s">
        <v>514</v>
      </c>
      <c r="J84" s="7" t="s">
        <v>145</v>
      </c>
      <c r="K84" s="8" t="s">
        <v>146</v>
      </c>
    </row>
    <row r="85" spans="1:11" ht="30" customHeight="1">
      <c r="A85" s="7" t="s">
        <v>860</v>
      </c>
      <c r="B85" s="7" t="s">
        <v>536</v>
      </c>
      <c r="C85" s="7" t="s">
        <v>134</v>
      </c>
      <c r="D85" s="7" t="s">
        <v>783</v>
      </c>
      <c r="E85" s="15">
        <v>550</v>
      </c>
      <c r="F85" s="9">
        <v>23.8</v>
      </c>
      <c r="G85" s="7" t="s">
        <v>731</v>
      </c>
      <c r="H85" s="7" t="s">
        <v>775</v>
      </c>
      <c r="I85" s="7" t="s">
        <v>514</v>
      </c>
      <c r="J85" s="7" t="s">
        <v>145</v>
      </c>
      <c r="K85" s="8" t="s">
        <v>146</v>
      </c>
    </row>
    <row r="86" spans="1:11" ht="30" customHeight="1">
      <c r="A86" s="7" t="s">
        <v>861</v>
      </c>
      <c r="B86" s="7" t="s">
        <v>538</v>
      </c>
      <c r="C86" s="7" t="s">
        <v>134</v>
      </c>
      <c r="D86" s="7" t="s">
        <v>774</v>
      </c>
      <c r="E86" s="14"/>
      <c r="F86" s="15">
        <v>103</v>
      </c>
      <c r="G86" s="7" t="s">
        <v>759</v>
      </c>
      <c r="H86" s="7" t="s">
        <v>775</v>
      </c>
      <c r="I86" s="7" t="s">
        <v>514</v>
      </c>
      <c r="J86" s="7" t="s">
        <v>145</v>
      </c>
      <c r="K86" s="8" t="s">
        <v>146</v>
      </c>
    </row>
    <row r="87" spans="1:11" ht="30" customHeight="1">
      <c r="A87" s="7" t="s">
        <v>862</v>
      </c>
      <c r="B87" s="7" t="s">
        <v>538</v>
      </c>
      <c r="C87" s="7" t="s">
        <v>134</v>
      </c>
      <c r="D87" s="7" t="s">
        <v>777</v>
      </c>
      <c r="E87" s="14"/>
      <c r="F87" s="15">
        <v>530</v>
      </c>
      <c r="G87" s="7" t="s">
        <v>759</v>
      </c>
      <c r="H87" s="7" t="s">
        <v>775</v>
      </c>
      <c r="I87" s="7" t="s">
        <v>514</v>
      </c>
      <c r="J87" s="7" t="s">
        <v>145</v>
      </c>
      <c r="K87" s="8" t="s">
        <v>146</v>
      </c>
    </row>
    <row r="88" spans="1:11" ht="30" customHeight="1">
      <c r="A88" s="7" t="s">
        <v>863</v>
      </c>
      <c r="B88" s="7" t="s">
        <v>538</v>
      </c>
      <c r="C88" s="7" t="s">
        <v>134</v>
      </c>
      <c r="D88" s="7" t="s">
        <v>779</v>
      </c>
      <c r="E88" s="10">
        <v>110.25</v>
      </c>
      <c r="F88" s="10">
        <v>0.78</v>
      </c>
      <c r="G88" s="7" t="s">
        <v>731</v>
      </c>
      <c r="H88" s="7" t="s">
        <v>775</v>
      </c>
      <c r="I88" s="7" t="s">
        <v>514</v>
      </c>
      <c r="J88" s="7" t="s">
        <v>145</v>
      </c>
      <c r="K88" s="8" t="s">
        <v>146</v>
      </c>
    </row>
    <row r="89" spans="1:11" ht="30" customHeight="1">
      <c r="A89" s="7" t="s">
        <v>864</v>
      </c>
      <c r="B89" s="7" t="s">
        <v>538</v>
      </c>
      <c r="C89" s="7" t="s">
        <v>134</v>
      </c>
      <c r="D89" s="7" t="s">
        <v>783</v>
      </c>
      <c r="E89" s="15">
        <v>530</v>
      </c>
      <c r="F89" s="9">
        <v>16.7</v>
      </c>
      <c r="G89" s="7" t="s">
        <v>731</v>
      </c>
      <c r="H89" s="7" t="s">
        <v>775</v>
      </c>
      <c r="I89" s="7" t="s">
        <v>514</v>
      </c>
      <c r="J89" s="7" t="s">
        <v>145</v>
      </c>
      <c r="K89" s="8" t="s">
        <v>146</v>
      </c>
    </row>
    <row r="90" spans="1:11" ht="35.25" customHeight="1">
      <c r="A90" s="7" t="s">
        <v>865</v>
      </c>
      <c r="B90" s="7" t="s">
        <v>575</v>
      </c>
      <c r="C90" s="7" t="s">
        <v>28</v>
      </c>
      <c r="D90" s="7" t="s">
        <v>774</v>
      </c>
      <c r="E90" s="14"/>
      <c r="F90" s="15">
        <v>22</v>
      </c>
      <c r="G90" s="7" t="s">
        <v>759</v>
      </c>
      <c r="H90" s="7" t="s">
        <v>775</v>
      </c>
      <c r="I90" s="7" t="s">
        <v>578</v>
      </c>
      <c r="J90" s="7" t="s">
        <v>45</v>
      </c>
      <c r="K90" s="8" t="s">
        <v>46</v>
      </c>
    </row>
    <row r="91" spans="1:11" ht="35.25" customHeight="1">
      <c r="A91" s="7" t="s">
        <v>866</v>
      </c>
      <c r="B91" s="7" t="s">
        <v>575</v>
      </c>
      <c r="C91" s="7" t="s">
        <v>28</v>
      </c>
      <c r="D91" s="7" t="s">
        <v>777</v>
      </c>
      <c r="E91" s="14"/>
      <c r="F91" s="15">
        <v>188</v>
      </c>
      <c r="G91" s="7" t="s">
        <v>759</v>
      </c>
      <c r="H91" s="7" t="s">
        <v>775</v>
      </c>
      <c r="I91" s="7" t="s">
        <v>578</v>
      </c>
      <c r="J91" s="7" t="s">
        <v>45</v>
      </c>
      <c r="K91" s="8" t="s">
        <v>46</v>
      </c>
    </row>
    <row r="92" spans="1:11" ht="35.25" customHeight="1">
      <c r="A92" s="7" t="s">
        <v>867</v>
      </c>
      <c r="B92" s="7" t="s">
        <v>575</v>
      </c>
      <c r="C92" s="7" t="s">
        <v>28</v>
      </c>
      <c r="D92" s="7" t="s">
        <v>868</v>
      </c>
      <c r="E92" s="14"/>
      <c r="F92" s="15">
        <v>94</v>
      </c>
      <c r="G92" s="7" t="s">
        <v>759</v>
      </c>
      <c r="H92" s="7" t="s">
        <v>775</v>
      </c>
      <c r="I92" s="7" t="s">
        <v>869</v>
      </c>
      <c r="J92" s="7" t="s">
        <v>45</v>
      </c>
      <c r="K92" s="8" t="s">
        <v>46</v>
      </c>
    </row>
    <row r="93" spans="1:11" ht="35.25" customHeight="1">
      <c r="A93" s="7" t="s">
        <v>870</v>
      </c>
      <c r="B93" s="7" t="s">
        <v>581</v>
      </c>
      <c r="C93" s="7" t="s">
        <v>28</v>
      </c>
      <c r="D93" s="7" t="s">
        <v>774</v>
      </c>
      <c r="E93" s="14"/>
      <c r="F93" s="15">
        <v>29</v>
      </c>
      <c r="G93" s="7" t="s">
        <v>759</v>
      </c>
      <c r="H93" s="7" t="s">
        <v>775</v>
      </c>
      <c r="I93" s="7" t="s">
        <v>583</v>
      </c>
      <c r="J93" s="7" t="s">
        <v>45</v>
      </c>
      <c r="K93" s="8" t="s">
        <v>46</v>
      </c>
    </row>
    <row r="94" spans="1:11" ht="35.25" customHeight="1">
      <c r="A94" s="7" t="s">
        <v>871</v>
      </c>
      <c r="B94" s="7" t="s">
        <v>581</v>
      </c>
      <c r="C94" s="7" t="s">
        <v>28</v>
      </c>
      <c r="D94" s="7" t="s">
        <v>777</v>
      </c>
      <c r="E94" s="14"/>
      <c r="F94" s="15">
        <v>211</v>
      </c>
      <c r="G94" s="7" t="s">
        <v>759</v>
      </c>
      <c r="H94" s="7" t="s">
        <v>775</v>
      </c>
      <c r="I94" s="7" t="s">
        <v>583</v>
      </c>
      <c r="J94" s="7" t="s">
        <v>45</v>
      </c>
      <c r="K94" s="8" t="s">
        <v>46</v>
      </c>
    </row>
    <row r="95" spans="1:11" ht="35.25" customHeight="1">
      <c r="A95" s="7" t="s">
        <v>872</v>
      </c>
      <c r="B95" s="7" t="s">
        <v>581</v>
      </c>
      <c r="C95" s="7" t="s">
        <v>28</v>
      </c>
      <c r="D95" s="7" t="s">
        <v>868</v>
      </c>
      <c r="E95" s="14"/>
      <c r="F95" s="15">
        <v>106</v>
      </c>
      <c r="G95" s="7" t="s">
        <v>759</v>
      </c>
      <c r="H95" s="7" t="s">
        <v>775</v>
      </c>
      <c r="I95" s="7" t="s">
        <v>873</v>
      </c>
      <c r="J95" s="7" t="s">
        <v>45</v>
      </c>
      <c r="K95" s="8" t="s">
        <v>46</v>
      </c>
    </row>
    <row r="96" spans="1:11" ht="35.25" customHeight="1">
      <c r="A96" s="7" t="s">
        <v>874</v>
      </c>
      <c r="B96" s="7" t="s">
        <v>591</v>
      </c>
      <c r="C96" s="7" t="s">
        <v>28</v>
      </c>
      <c r="D96" s="7" t="s">
        <v>774</v>
      </c>
      <c r="E96" s="14"/>
      <c r="F96" s="15">
        <v>50</v>
      </c>
      <c r="G96" s="7" t="s">
        <v>759</v>
      </c>
      <c r="H96" s="7" t="s">
        <v>775</v>
      </c>
      <c r="I96" s="7" t="s">
        <v>593</v>
      </c>
      <c r="J96" s="7" t="s">
        <v>45</v>
      </c>
      <c r="K96" s="8" t="s">
        <v>46</v>
      </c>
    </row>
    <row r="97" spans="1:11" ht="35.25" customHeight="1">
      <c r="A97" s="7" t="s">
        <v>875</v>
      </c>
      <c r="B97" s="7" t="s">
        <v>591</v>
      </c>
      <c r="C97" s="7" t="s">
        <v>28</v>
      </c>
      <c r="D97" s="7" t="s">
        <v>777</v>
      </c>
      <c r="E97" s="14"/>
      <c r="F97" s="15">
        <v>242</v>
      </c>
      <c r="G97" s="7" t="s">
        <v>759</v>
      </c>
      <c r="H97" s="7" t="s">
        <v>775</v>
      </c>
      <c r="I97" s="7" t="s">
        <v>593</v>
      </c>
      <c r="J97" s="7" t="s">
        <v>45</v>
      </c>
      <c r="K97" s="8" t="s">
        <v>46</v>
      </c>
    </row>
    <row r="98" spans="1:11" ht="35.25" customHeight="1">
      <c r="A98" s="7" t="s">
        <v>876</v>
      </c>
      <c r="B98" s="7" t="s">
        <v>591</v>
      </c>
      <c r="C98" s="7" t="s">
        <v>28</v>
      </c>
      <c r="D98" s="7" t="s">
        <v>868</v>
      </c>
      <c r="E98" s="14"/>
      <c r="F98" s="15">
        <v>121</v>
      </c>
      <c r="G98" s="7" t="s">
        <v>759</v>
      </c>
      <c r="H98" s="7" t="s">
        <v>775</v>
      </c>
      <c r="I98" s="7" t="s">
        <v>877</v>
      </c>
      <c r="J98" s="7" t="s">
        <v>45</v>
      </c>
      <c r="K98" s="8" t="s">
        <v>46</v>
      </c>
    </row>
    <row r="99" spans="1:11" ht="35.25" customHeight="1">
      <c r="A99" s="7" t="s">
        <v>878</v>
      </c>
      <c r="B99" s="7" t="s">
        <v>594</v>
      </c>
      <c r="C99" s="7" t="s">
        <v>28</v>
      </c>
      <c r="D99" s="7" t="s">
        <v>774</v>
      </c>
      <c r="E99" s="14"/>
      <c r="F99" s="15">
        <v>21</v>
      </c>
      <c r="G99" s="7" t="s">
        <v>759</v>
      </c>
      <c r="H99" s="7" t="s">
        <v>775</v>
      </c>
      <c r="I99" s="7" t="s">
        <v>578</v>
      </c>
      <c r="J99" s="7" t="s">
        <v>45</v>
      </c>
      <c r="K99" s="8" t="s">
        <v>46</v>
      </c>
    </row>
    <row r="100" spans="1:11" ht="35.25" customHeight="1">
      <c r="A100" s="7" t="s">
        <v>879</v>
      </c>
      <c r="B100" s="7" t="s">
        <v>594</v>
      </c>
      <c r="C100" s="7" t="s">
        <v>28</v>
      </c>
      <c r="D100" s="7" t="s">
        <v>777</v>
      </c>
      <c r="E100" s="14"/>
      <c r="F100" s="15">
        <v>309</v>
      </c>
      <c r="G100" s="7" t="s">
        <v>759</v>
      </c>
      <c r="H100" s="7" t="s">
        <v>775</v>
      </c>
      <c r="I100" s="7" t="s">
        <v>578</v>
      </c>
      <c r="J100" s="7" t="s">
        <v>45</v>
      </c>
      <c r="K100" s="8" t="s">
        <v>46</v>
      </c>
    </row>
    <row r="101" spans="1:11" ht="35.25" customHeight="1">
      <c r="A101" s="7" t="s">
        <v>880</v>
      </c>
      <c r="B101" s="7" t="s">
        <v>594</v>
      </c>
      <c r="C101" s="7" t="s">
        <v>28</v>
      </c>
      <c r="D101" s="7" t="s">
        <v>868</v>
      </c>
      <c r="E101" s="14"/>
      <c r="F101" s="15">
        <v>155</v>
      </c>
      <c r="G101" s="7" t="s">
        <v>759</v>
      </c>
      <c r="H101" s="7" t="s">
        <v>775</v>
      </c>
      <c r="I101" s="7" t="s">
        <v>869</v>
      </c>
      <c r="J101" s="7" t="s">
        <v>45</v>
      </c>
      <c r="K101" s="8" t="s">
        <v>46</v>
      </c>
    </row>
    <row r="102" spans="1:11" ht="35.25" customHeight="1">
      <c r="A102" s="7" t="s">
        <v>881</v>
      </c>
      <c r="B102" s="7" t="s">
        <v>596</v>
      </c>
      <c r="C102" s="7" t="s">
        <v>28</v>
      </c>
      <c r="D102" s="7" t="s">
        <v>774</v>
      </c>
      <c r="E102" s="14"/>
      <c r="F102" s="15">
        <v>46</v>
      </c>
      <c r="G102" s="7" t="s">
        <v>759</v>
      </c>
      <c r="H102" s="7" t="s">
        <v>775</v>
      </c>
      <c r="I102" s="7" t="s">
        <v>578</v>
      </c>
      <c r="J102" s="7" t="s">
        <v>45</v>
      </c>
      <c r="K102" s="8" t="s">
        <v>46</v>
      </c>
    </row>
    <row r="103" spans="1:11" ht="35.25" customHeight="1">
      <c r="A103" s="7" t="s">
        <v>882</v>
      </c>
      <c r="B103" s="7" t="s">
        <v>596</v>
      </c>
      <c r="C103" s="7" t="s">
        <v>28</v>
      </c>
      <c r="D103" s="7" t="s">
        <v>777</v>
      </c>
      <c r="E103" s="14"/>
      <c r="F103" s="15">
        <v>335</v>
      </c>
      <c r="G103" s="7" t="s">
        <v>759</v>
      </c>
      <c r="H103" s="7" t="s">
        <v>775</v>
      </c>
      <c r="I103" s="7" t="s">
        <v>578</v>
      </c>
      <c r="J103" s="7" t="s">
        <v>45</v>
      </c>
      <c r="K103" s="8" t="s">
        <v>46</v>
      </c>
    </row>
    <row r="104" spans="1:11" ht="35.25" customHeight="1">
      <c r="A104" s="7" t="s">
        <v>883</v>
      </c>
      <c r="B104" s="7" t="s">
        <v>596</v>
      </c>
      <c r="C104" s="7" t="s">
        <v>28</v>
      </c>
      <c r="D104" s="7" t="s">
        <v>868</v>
      </c>
      <c r="E104" s="14"/>
      <c r="F104" s="15">
        <v>167</v>
      </c>
      <c r="G104" s="7" t="s">
        <v>759</v>
      </c>
      <c r="H104" s="7" t="s">
        <v>775</v>
      </c>
      <c r="I104" s="7" t="s">
        <v>869</v>
      </c>
      <c r="J104" s="7" t="s">
        <v>45</v>
      </c>
      <c r="K104" s="8" t="s">
        <v>46</v>
      </c>
    </row>
    <row r="105" spans="1:11" ht="35.25" customHeight="1">
      <c r="A105" s="7" t="s">
        <v>884</v>
      </c>
      <c r="B105" s="7" t="s">
        <v>598</v>
      </c>
      <c r="C105" s="7" t="s">
        <v>28</v>
      </c>
      <c r="D105" s="7" t="s">
        <v>774</v>
      </c>
      <c r="E105" s="14"/>
      <c r="F105" s="15">
        <v>58</v>
      </c>
      <c r="G105" s="7" t="s">
        <v>759</v>
      </c>
      <c r="H105" s="7" t="s">
        <v>775</v>
      </c>
      <c r="I105" s="7" t="s">
        <v>600</v>
      </c>
      <c r="J105" s="7" t="s">
        <v>45</v>
      </c>
      <c r="K105" s="8" t="s">
        <v>46</v>
      </c>
    </row>
    <row r="106" spans="1:11" ht="35.25" customHeight="1">
      <c r="A106" s="7" t="s">
        <v>885</v>
      </c>
      <c r="B106" s="7" t="s">
        <v>598</v>
      </c>
      <c r="C106" s="7" t="s">
        <v>28</v>
      </c>
      <c r="D106" s="7" t="s">
        <v>777</v>
      </c>
      <c r="E106" s="14"/>
      <c r="F106" s="15">
        <v>340</v>
      </c>
      <c r="G106" s="7" t="s">
        <v>759</v>
      </c>
      <c r="H106" s="7" t="s">
        <v>775</v>
      </c>
      <c r="I106" s="7" t="s">
        <v>600</v>
      </c>
      <c r="J106" s="7" t="s">
        <v>45</v>
      </c>
      <c r="K106" s="8" t="s">
        <v>46</v>
      </c>
    </row>
    <row r="107" spans="1:11" ht="35.25" customHeight="1">
      <c r="A107" s="7" t="s">
        <v>886</v>
      </c>
      <c r="B107" s="7" t="s">
        <v>598</v>
      </c>
      <c r="C107" s="7" t="s">
        <v>28</v>
      </c>
      <c r="D107" s="7" t="s">
        <v>868</v>
      </c>
      <c r="E107" s="14"/>
      <c r="F107" s="15">
        <v>170</v>
      </c>
      <c r="G107" s="7" t="s">
        <v>759</v>
      </c>
      <c r="H107" s="7" t="s">
        <v>775</v>
      </c>
      <c r="I107" s="7" t="s">
        <v>887</v>
      </c>
      <c r="J107" s="7" t="s">
        <v>45</v>
      </c>
      <c r="K107" s="8" t="s">
        <v>46</v>
      </c>
    </row>
    <row r="108" spans="1:11" ht="35.25" customHeight="1">
      <c r="A108" s="7" t="s">
        <v>888</v>
      </c>
      <c r="B108" s="7" t="s">
        <v>602</v>
      </c>
      <c r="C108" s="7" t="s">
        <v>28</v>
      </c>
      <c r="D108" s="7" t="s">
        <v>774</v>
      </c>
      <c r="E108" s="14"/>
      <c r="F108" s="9">
        <v>47.5</v>
      </c>
      <c r="G108" s="7" t="s">
        <v>759</v>
      </c>
      <c r="H108" s="7" t="s">
        <v>775</v>
      </c>
      <c r="I108" s="7" t="s">
        <v>600</v>
      </c>
      <c r="J108" s="7" t="s">
        <v>45</v>
      </c>
      <c r="K108" s="8" t="s">
        <v>46</v>
      </c>
    </row>
    <row r="109" spans="1:11" ht="35.25" customHeight="1">
      <c r="A109" s="7" t="s">
        <v>889</v>
      </c>
      <c r="B109" s="7" t="s">
        <v>602</v>
      </c>
      <c r="C109" s="7" t="s">
        <v>28</v>
      </c>
      <c r="D109" s="7" t="s">
        <v>777</v>
      </c>
      <c r="E109" s="14"/>
      <c r="F109" s="15">
        <v>426</v>
      </c>
      <c r="G109" s="7" t="s">
        <v>759</v>
      </c>
      <c r="H109" s="7" t="s">
        <v>775</v>
      </c>
      <c r="I109" s="7" t="s">
        <v>600</v>
      </c>
      <c r="J109" s="7" t="s">
        <v>45</v>
      </c>
      <c r="K109" s="8" t="s">
        <v>46</v>
      </c>
    </row>
    <row r="110" spans="1:11" ht="35.25" customHeight="1">
      <c r="A110" s="7" t="s">
        <v>890</v>
      </c>
      <c r="B110" s="7" t="s">
        <v>602</v>
      </c>
      <c r="C110" s="7" t="s">
        <v>28</v>
      </c>
      <c r="D110" s="7" t="s">
        <v>868</v>
      </c>
      <c r="E110" s="14"/>
      <c r="F110" s="15">
        <v>213</v>
      </c>
      <c r="G110" s="7" t="s">
        <v>759</v>
      </c>
      <c r="H110" s="7" t="s">
        <v>775</v>
      </c>
      <c r="I110" s="7" t="s">
        <v>887</v>
      </c>
      <c r="J110" s="7" t="s">
        <v>45</v>
      </c>
      <c r="K110" s="8" t="s">
        <v>46</v>
      </c>
    </row>
    <row r="111" spans="1:11" ht="35.25" customHeight="1">
      <c r="A111" s="7" t="s">
        <v>891</v>
      </c>
      <c r="B111" s="7" t="s">
        <v>604</v>
      </c>
      <c r="C111" s="7" t="s">
        <v>28</v>
      </c>
      <c r="D111" s="7" t="s">
        <v>774</v>
      </c>
      <c r="E111" s="14"/>
      <c r="F111" s="15">
        <v>60</v>
      </c>
      <c r="G111" s="7" t="s">
        <v>759</v>
      </c>
      <c r="H111" s="7" t="s">
        <v>775</v>
      </c>
      <c r="I111" s="7" t="s">
        <v>606</v>
      </c>
      <c r="J111" s="7" t="s">
        <v>45</v>
      </c>
      <c r="K111" s="8" t="s">
        <v>46</v>
      </c>
    </row>
    <row r="112" spans="1:11" ht="35.25" customHeight="1">
      <c r="A112" s="7" t="s">
        <v>892</v>
      </c>
      <c r="B112" s="7" t="s">
        <v>604</v>
      </c>
      <c r="C112" s="7" t="s">
        <v>28</v>
      </c>
      <c r="D112" s="7" t="s">
        <v>777</v>
      </c>
      <c r="E112" s="14"/>
      <c r="F112" s="15">
        <v>327</v>
      </c>
      <c r="G112" s="7" t="s">
        <v>759</v>
      </c>
      <c r="H112" s="7" t="s">
        <v>775</v>
      </c>
      <c r="I112" s="7" t="s">
        <v>606</v>
      </c>
      <c r="J112" s="7" t="s">
        <v>45</v>
      </c>
      <c r="K112" s="8" t="s">
        <v>46</v>
      </c>
    </row>
    <row r="113" spans="1:11" ht="35.25" customHeight="1">
      <c r="A113" s="7" t="s">
        <v>893</v>
      </c>
      <c r="B113" s="7" t="s">
        <v>604</v>
      </c>
      <c r="C113" s="7" t="s">
        <v>28</v>
      </c>
      <c r="D113" s="7" t="s">
        <v>868</v>
      </c>
      <c r="E113" s="14"/>
      <c r="F113" s="15">
        <v>163</v>
      </c>
      <c r="G113" s="7" t="s">
        <v>759</v>
      </c>
      <c r="H113" s="7" t="s">
        <v>775</v>
      </c>
      <c r="I113" s="7" t="s">
        <v>894</v>
      </c>
      <c r="J113" s="7" t="s">
        <v>45</v>
      </c>
      <c r="K113" s="8" t="s">
        <v>46</v>
      </c>
    </row>
    <row r="114" spans="1:11" ht="35.25" customHeight="1">
      <c r="A114" s="7" t="s">
        <v>895</v>
      </c>
      <c r="B114" s="7" t="s">
        <v>607</v>
      </c>
      <c r="C114" s="7" t="s">
        <v>28</v>
      </c>
      <c r="D114" s="7" t="s">
        <v>774</v>
      </c>
      <c r="E114" s="14"/>
      <c r="F114" s="15">
        <v>43</v>
      </c>
      <c r="G114" s="7" t="s">
        <v>759</v>
      </c>
      <c r="H114" s="7" t="s">
        <v>775</v>
      </c>
      <c r="I114" s="7" t="s">
        <v>606</v>
      </c>
      <c r="J114" s="7" t="s">
        <v>45</v>
      </c>
      <c r="K114" s="8" t="s">
        <v>46</v>
      </c>
    </row>
    <row r="115" spans="1:11" ht="35.25" customHeight="1">
      <c r="A115" s="7" t="s">
        <v>896</v>
      </c>
      <c r="B115" s="7" t="s">
        <v>607</v>
      </c>
      <c r="C115" s="7" t="s">
        <v>28</v>
      </c>
      <c r="D115" s="7" t="s">
        <v>777</v>
      </c>
      <c r="E115" s="14"/>
      <c r="F115" s="15">
        <v>290</v>
      </c>
      <c r="G115" s="7" t="s">
        <v>759</v>
      </c>
      <c r="H115" s="7" t="s">
        <v>775</v>
      </c>
      <c r="I115" s="7" t="s">
        <v>606</v>
      </c>
      <c r="J115" s="7" t="s">
        <v>45</v>
      </c>
      <c r="K115" s="8" t="s">
        <v>46</v>
      </c>
    </row>
    <row r="116" spans="1:11" ht="35.25" customHeight="1">
      <c r="A116" s="7" t="s">
        <v>897</v>
      </c>
      <c r="B116" s="7" t="s">
        <v>607</v>
      </c>
      <c r="C116" s="7" t="s">
        <v>28</v>
      </c>
      <c r="D116" s="7" t="s">
        <v>868</v>
      </c>
      <c r="E116" s="14"/>
      <c r="F116" s="15">
        <v>145</v>
      </c>
      <c r="G116" s="7" t="s">
        <v>759</v>
      </c>
      <c r="H116" s="7" t="s">
        <v>775</v>
      </c>
      <c r="I116" s="7" t="s">
        <v>894</v>
      </c>
      <c r="J116" s="7" t="s">
        <v>45</v>
      </c>
      <c r="K116" s="8" t="s">
        <v>46</v>
      </c>
    </row>
    <row r="117" spans="1:11" ht="35.25" customHeight="1">
      <c r="A117" s="7" t="s">
        <v>898</v>
      </c>
      <c r="B117" s="7" t="s">
        <v>609</v>
      </c>
      <c r="C117" s="7" t="s">
        <v>28</v>
      </c>
      <c r="D117" s="7" t="s">
        <v>774</v>
      </c>
      <c r="E117" s="14"/>
      <c r="F117" s="15">
        <v>35</v>
      </c>
      <c r="G117" s="7" t="s">
        <v>759</v>
      </c>
      <c r="H117" s="7" t="s">
        <v>775</v>
      </c>
      <c r="I117" s="7" t="s">
        <v>578</v>
      </c>
      <c r="J117" s="7" t="s">
        <v>45</v>
      </c>
      <c r="K117" s="8" t="s">
        <v>46</v>
      </c>
    </row>
    <row r="118" spans="1:11" ht="35.25" customHeight="1">
      <c r="A118" s="7" t="s">
        <v>899</v>
      </c>
      <c r="B118" s="7" t="s">
        <v>609</v>
      </c>
      <c r="C118" s="7" t="s">
        <v>28</v>
      </c>
      <c r="D118" s="7" t="s">
        <v>777</v>
      </c>
      <c r="E118" s="14"/>
      <c r="F118" s="15">
        <v>237</v>
      </c>
      <c r="G118" s="7" t="s">
        <v>759</v>
      </c>
      <c r="H118" s="7" t="s">
        <v>775</v>
      </c>
      <c r="I118" s="7" t="s">
        <v>578</v>
      </c>
      <c r="J118" s="7" t="s">
        <v>45</v>
      </c>
      <c r="K118" s="8" t="s">
        <v>46</v>
      </c>
    </row>
    <row r="119" spans="1:11" ht="35.25" customHeight="1">
      <c r="A119" s="7" t="s">
        <v>900</v>
      </c>
      <c r="B119" s="7" t="s">
        <v>609</v>
      </c>
      <c r="C119" s="7" t="s">
        <v>28</v>
      </c>
      <c r="D119" s="7" t="s">
        <v>868</v>
      </c>
      <c r="E119" s="14"/>
      <c r="F119" s="15">
        <v>119</v>
      </c>
      <c r="G119" s="7" t="s">
        <v>759</v>
      </c>
      <c r="H119" s="7" t="s">
        <v>775</v>
      </c>
      <c r="I119" s="7" t="s">
        <v>869</v>
      </c>
      <c r="J119" s="7" t="s">
        <v>45</v>
      </c>
      <c r="K119" s="8" t="s">
        <v>46</v>
      </c>
    </row>
    <row r="120" spans="1:11" ht="35.25" customHeight="1">
      <c r="A120" s="7" t="s">
        <v>901</v>
      </c>
      <c r="B120" s="7" t="s">
        <v>611</v>
      </c>
      <c r="C120" s="7" t="s">
        <v>28</v>
      </c>
      <c r="D120" s="7" t="s">
        <v>774</v>
      </c>
      <c r="E120" s="14"/>
      <c r="F120" s="15">
        <v>41</v>
      </c>
      <c r="G120" s="7" t="s">
        <v>759</v>
      </c>
      <c r="H120" s="7" t="s">
        <v>775</v>
      </c>
      <c r="I120" s="7" t="s">
        <v>583</v>
      </c>
      <c r="J120" s="7" t="s">
        <v>45</v>
      </c>
      <c r="K120" s="8" t="s">
        <v>46</v>
      </c>
    </row>
    <row r="121" spans="1:11" ht="35.25" customHeight="1">
      <c r="A121" s="7" t="s">
        <v>902</v>
      </c>
      <c r="B121" s="7" t="s">
        <v>611</v>
      </c>
      <c r="C121" s="7" t="s">
        <v>28</v>
      </c>
      <c r="D121" s="7" t="s">
        <v>777</v>
      </c>
      <c r="E121" s="14"/>
      <c r="F121" s="15">
        <v>282</v>
      </c>
      <c r="G121" s="7" t="s">
        <v>759</v>
      </c>
      <c r="H121" s="7" t="s">
        <v>775</v>
      </c>
      <c r="I121" s="7" t="s">
        <v>583</v>
      </c>
      <c r="J121" s="7" t="s">
        <v>45</v>
      </c>
      <c r="K121" s="8" t="s">
        <v>46</v>
      </c>
    </row>
    <row r="122" spans="1:11" ht="35.25" customHeight="1">
      <c r="A122" s="7" t="s">
        <v>903</v>
      </c>
      <c r="B122" s="7" t="s">
        <v>611</v>
      </c>
      <c r="C122" s="7" t="s">
        <v>28</v>
      </c>
      <c r="D122" s="7" t="s">
        <v>868</v>
      </c>
      <c r="E122" s="14"/>
      <c r="F122" s="15">
        <v>141</v>
      </c>
      <c r="G122" s="7" t="s">
        <v>759</v>
      </c>
      <c r="H122" s="7" t="s">
        <v>775</v>
      </c>
      <c r="I122" s="7" t="s">
        <v>873</v>
      </c>
      <c r="J122" s="7" t="s">
        <v>45</v>
      </c>
      <c r="K122" s="8" t="s">
        <v>46</v>
      </c>
    </row>
    <row r="123" spans="1:11" ht="35.25" customHeight="1">
      <c r="A123" s="7" t="s">
        <v>904</v>
      </c>
      <c r="B123" s="7" t="s">
        <v>613</v>
      </c>
      <c r="C123" s="7" t="s">
        <v>28</v>
      </c>
      <c r="D123" s="7" t="s">
        <v>774</v>
      </c>
      <c r="E123" s="14"/>
      <c r="F123" s="15">
        <v>59</v>
      </c>
      <c r="G123" s="7" t="s">
        <v>759</v>
      </c>
      <c r="H123" s="7" t="s">
        <v>775</v>
      </c>
      <c r="I123" s="7" t="s">
        <v>606</v>
      </c>
      <c r="J123" s="7" t="s">
        <v>45</v>
      </c>
      <c r="K123" s="8" t="s">
        <v>46</v>
      </c>
    </row>
    <row r="124" spans="1:11" ht="35.25" customHeight="1">
      <c r="A124" s="7" t="s">
        <v>905</v>
      </c>
      <c r="B124" s="7" t="s">
        <v>613</v>
      </c>
      <c r="C124" s="7" t="s">
        <v>28</v>
      </c>
      <c r="D124" s="7" t="s">
        <v>777</v>
      </c>
      <c r="E124" s="14"/>
      <c r="F124" s="15">
        <v>317</v>
      </c>
      <c r="G124" s="7" t="s">
        <v>759</v>
      </c>
      <c r="H124" s="7" t="s">
        <v>775</v>
      </c>
      <c r="I124" s="7" t="s">
        <v>606</v>
      </c>
      <c r="J124" s="7" t="s">
        <v>45</v>
      </c>
      <c r="K124" s="8" t="s">
        <v>46</v>
      </c>
    </row>
    <row r="125" spans="1:11" ht="35.25" customHeight="1">
      <c r="A125" s="7" t="s">
        <v>906</v>
      </c>
      <c r="B125" s="7" t="s">
        <v>613</v>
      </c>
      <c r="C125" s="7" t="s">
        <v>28</v>
      </c>
      <c r="D125" s="7" t="s">
        <v>868</v>
      </c>
      <c r="E125" s="14"/>
      <c r="F125" s="15">
        <v>159</v>
      </c>
      <c r="G125" s="7" t="s">
        <v>759</v>
      </c>
      <c r="H125" s="7" t="s">
        <v>775</v>
      </c>
      <c r="I125" s="7" t="s">
        <v>894</v>
      </c>
      <c r="J125" s="7" t="s">
        <v>45</v>
      </c>
      <c r="K125" s="8" t="s">
        <v>46</v>
      </c>
    </row>
    <row r="126" spans="1:11" ht="35.25" customHeight="1">
      <c r="A126" s="7" t="s">
        <v>907</v>
      </c>
      <c r="B126" s="7" t="s">
        <v>615</v>
      </c>
      <c r="C126" s="7" t="s">
        <v>28</v>
      </c>
      <c r="D126" s="7" t="s">
        <v>777</v>
      </c>
      <c r="E126" s="14"/>
      <c r="F126" s="15">
        <v>315</v>
      </c>
      <c r="G126" s="7" t="s">
        <v>759</v>
      </c>
      <c r="H126" s="7" t="s">
        <v>775</v>
      </c>
      <c r="I126" s="7" t="s">
        <v>617</v>
      </c>
      <c r="J126" s="7" t="s">
        <v>45</v>
      </c>
      <c r="K126" s="8" t="s">
        <v>46</v>
      </c>
    </row>
    <row r="127" spans="1:11" ht="35.25" customHeight="1">
      <c r="A127" s="7" t="s">
        <v>908</v>
      </c>
      <c r="B127" s="7" t="s">
        <v>615</v>
      </c>
      <c r="C127" s="7" t="s">
        <v>28</v>
      </c>
      <c r="D127" s="7" t="s">
        <v>868</v>
      </c>
      <c r="E127" s="14"/>
      <c r="F127" s="15">
        <v>157</v>
      </c>
      <c r="G127" s="7" t="s">
        <v>759</v>
      </c>
      <c r="H127" s="7" t="s">
        <v>775</v>
      </c>
      <c r="I127" s="7" t="s">
        <v>909</v>
      </c>
      <c r="J127" s="7" t="s">
        <v>45</v>
      </c>
      <c r="K127" s="8" t="s">
        <v>46</v>
      </c>
    </row>
    <row r="128" spans="1:11" ht="35.25" customHeight="1">
      <c r="A128" s="7" t="s">
        <v>910</v>
      </c>
      <c r="B128" s="7" t="s">
        <v>618</v>
      </c>
      <c r="C128" s="7" t="s">
        <v>28</v>
      </c>
      <c r="D128" s="7" t="s">
        <v>777</v>
      </c>
      <c r="E128" s="14"/>
      <c r="F128" s="15">
        <v>346</v>
      </c>
      <c r="G128" s="7" t="s">
        <v>759</v>
      </c>
      <c r="H128" s="7" t="s">
        <v>775</v>
      </c>
      <c r="I128" s="7" t="s">
        <v>617</v>
      </c>
      <c r="J128" s="7" t="s">
        <v>45</v>
      </c>
      <c r="K128" s="8" t="s">
        <v>46</v>
      </c>
    </row>
    <row r="129" spans="1:11" ht="35.25" customHeight="1">
      <c r="A129" s="7" t="s">
        <v>911</v>
      </c>
      <c r="B129" s="7" t="s">
        <v>618</v>
      </c>
      <c r="C129" s="7" t="s">
        <v>28</v>
      </c>
      <c r="D129" s="7" t="s">
        <v>868</v>
      </c>
      <c r="E129" s="14"/>
      <c r="F129" s="15">
        <v>173</v>
      </c>
      <c r="G129" s="7" t="s">
        <v>759</v>
      </c>
      <c r="H129" s="7" t="s">
        <v>775</v>
      </c>
      <c r="I129" s="7" t="s">
        <v>909</v>
      </c>
      <c r="J129" s="7" t="s">
        <v>45</v>
      </c>
      <c r="K129" s="8" t="s">
        <v>46</v>
      </c>
    </row>
    <row r="130" spans="1:11" ht="35.25" customHeight="1">
      <c r="A130" s="7" t="s">
        <v>912</v>
      </c>
      <c r="B130" s="7" t="s">
        <v>620</v>
      </c>
      <c r="C130" s="7" t="s">
        <v>28</v>
      </c>
      <c r="D130" s="7" t="s">
        <v>777</v>
      </c>
      <c r="E130" s="14"/>
      <c r="F130" s="15">
        <v>372</v>
      </c>
      <c r="G130" s="7" t="s">
        <v>759</v>
      </c>
      <c r="H130" s="7" t="s">
        <v>775</v>
      </c>
      <c r="I130" s="7" t="s">
        <v>617</v>
      </c>
      <c r="J130" s="7" t="s">
        <v>45</v>
      </c>
      <c r="K130" s="8" t="s">
        <v>46</v>
      </c>
    </row>
    <row r="131" spans="1:11" ht="35.25" customHeight="1">
      <c r="A131" s="7" t="s">
        <v>913</v>
      </c>
      <c r="B131" s="7" t="s">
        <v>620</v>
      </c>
      <c r="C131" s="7" t="s">
        <v>28</v>
      </c>
      <c r="D131" s="7" t="s">
        <v>868</v>
      </c>
      <c r="E131" s="14"/>
      <c r="F131" s="15">
        <v>186</v>
      </c>
      <c r="G131" s="7" t="s">
        <v>759</v>
      </c>
      <c r="H131" s="7" t="s">
        <v>775</v>
      </c>
      <c r="I131" s="7" t="s">
        <v>909</v>
      </c>
      <c r="J131" s="7" t="s">
        <v>45</v>
      </c>
      <c r="K131" s="8" t="s">
        <v>46</v>
      </c>
    </row>
    <row r="132" spans="1:11" ht="35.25" customHeight="1">
      <c r="A132" s="7" t="s">
        <v>914</v>
      </c>
      <c r="B132" s="7" t="s">
        <v>622</v>
      </c>
      <c r="C132" s="7" t="s">
        <v>28</v>
      </c>
      <c r="D132" s="7" t="s">
        <v>774</v>
      </c>
      <c r="E132" s="14"/>
      <c r="F132" s="15">
        <v>43</v>
      </c>
      <c r="G132" s="7" t="s">
        <v>759</v>
      </c>
      <c r="H132" s="7" t="s">
        <v>775</v>
      </c>
      <c r="I132" s="7" t="s">
        <v>583</v>
      </c>
      <c r="J132" s="7" t="s">
        <v>45</v>
      </c>
      <c r="K132" s="8" t="s">
        <v>46</v>
      </c>
    </row>
    <row r="133" spans="1:11" ht="35.25" customHeight="1">
      <c r="A133" s="7" t="s">
        <v>915</v>
      </c>
      <c r="B133" s="7" t="s">
        <v>622</v>
      </c>
      <c r="C133" s="7" t="s">
        <v>28</v>
      </c>
      <c r="D133" s="7" t="s">
        <v>777</v>
      </c>
      <c r="E133" s="14"/>
      <c r="F133" s="15">
        <v>385</v>
      </c>
      <c r="G133" s="7" t="s">
        <v>759</v>
      </c>
      <c r="H133" s="7" t="s">
        <v>775</v>
      </c>
      <c r="I133" s="7" t="s">
        <v>583</v>
      </c>
      <c r="J133" s="7" t="s">
        <v>45</v>
      </c>
      <c r="K133" s="8" t="s">
        <v>46</v>
      </c>
    </row>
    <row r="134" spans="1:11" ht="35.25" customHeight="1">
      <c r="A134" s="7" t="s">
        <v>916</v>
      </c>
      <c r="B134" s="7" t="s">
        <v>622</v>
      </c>
      <c r="C134" s="7" t="s">
        <v>28</v>
      </c>
      <c r="D134" s="7" t="s">
        <v>868</v>
      </c>
      <c r="E134" s="14"/>
      <c r="F134" s="15">
        <v>192</v>
      </c>
      <c r="G134" s="7" t="s">
        <v>759</v>
      </c>
      <c r="H134" s="7" t="s">
        <v>775</v>
      </c>
      <c r="I134" s="7" t="s">
        <v>873</v>
      </c>
      <c r="J134" s="7" t="s">
        <v>45</v>
      </c>
      <c r="K134" s="8" t="s">
        <v>46</v>
      </c>
    </row>
    <row r="135" spans="1:11" ht="35.25" customHeight="1">
      <c r="A135" s="7" t="s">
        <v>917</v>
      </c>
      <c r="B135" s="7" t="s">
        <v>624</v>
      </c>
      <c r="C135" s="7" t="s">
        <v>28</v>
      </c>
      <c r="D135" s="7" t="s">
        <v>774</v>
      </c>
      <c r="E135" s="14"/>
      <c r="F135" s="15">
        <v>57</v>
      </c>
      <c r="G135" s="7" t="s">
        <v>759</v>
      </c>
      <c r="H135" s="7" t="s">
        <v>775</v>
      </c>
      <c r="I135" s="7" t="s">
        <v>583</v>
      </c>
      <c r="J135" s="7" t="s">
        <v>45</v>
      </c>
      <c r="K135" s="8" t="s">
        <v>46</v>
      </c>
    </row>
    <row r="136" spans="1:11" ht="35.25" customHeight="1">
      <c r="A136" s="7" t="s">
        <v>918</v>
      </c>
      <c r="B136" s="7" t="s">
        <v>624</v>
      </c>
      <c r="C136" s="7" t="s">
        <v>28</v>
      </c>
      <c r="D136" s="7" t="s">
        <v>777</v>
      </c>
      <c r="E136" s="14"/>
      <c r="F136" s="15">
        <v>336</v>
      </c>
      <c r="G136" s="7" t="s">
        <v>759</v>
      </c>
      <c r="H136" s="7" t="s">
        <v>775</v>
      </c>
      <c r="I136" s="7" t="s">
        <v>583</v>
      </c>
      <c r="J136" s="7" t="s">
        <v>45</v>
      </c>
      <c r="K136" s="8" t="s">
        <v>46</v>
      </c>
    </row>
    <row r="137" spans="1:11" ht="35.25" customHeight="1">
      <c r="A137" s="7" t="s">
        <v>919</v>
      </c>
      <c r="B137" s="7" t="s">
        <v>624</v>
      </c>
      <c r="C137" s="7" t="s">
        <v>28</v>
      </c>
      <c r="D137" s="7" t="s">
        <v>868</v>
      </c>
      <c r="E137" s="14"/>
      <c r="F137" s="15">
        <v>168</v>
      </c>
      <c r="G137" s="7" t="s">
        <v>759</v>
      </c>
      <c r="H137" s="7" t="s">
        <v>775</v>
      </c>
      <c r="I137" s="7" t="s">
        <v>873</v>
      </c>
      <c r="J137" s="7" t="s">
        <v>45</v>
      </c>
      <c r="K137" s="8" t="s">
        <v>46</v>
      </c>
    </row>
    <row r="138" spans="1:11" ht="35.25" customHeight="1">
      <c r="A138" s="7" t="s">
        <v>920</v>
      </c>
      <c r="B138" s="7" t="s">
        <v>627</v>
      </c>
      <c r="C138" s="7" t="s">
        <v>28</v>
      </c>
      <c r="D138" s="7" t="s">
        <v>774</v>
      </c>
      <c r="E138" s="14"/>
      <c r="F138" s="15">
        <v>43</v>
      </c>
      <c r="G138" s="7" t="s">
        <v>759</v>
      </c>
      <c r="H138" s="7" t="s">
        <v>775</v>
      </c>
      <c r="I138" s="7" t="s">
        <v>583</v>
      </c>
      <c r="J138" s="7" t="s">
        <v>45</v>
      </c>
      <c r="K138" s="8" t="s">
        <v>46</v>
      </c>
    </row>
    <row r="139" spans="1:11" ht="35.25" customHeight="1">
      <c r="A139" s="7" t="s">
        <v>921</v>
      </c>
      <c r="B139" s="7" t="s">
        <v>627</v>
      </c>
      <c r="C139" s="7" t="s">
        <v>28</v>
      </c>
      <c r="D139" s="7" t="s">
        <v>777</v>
      </c>
      <c r="E139" s="14"/>
      <c r="F139" s="15">
        <v>274</v>
      </c>
      <c r="G139" s="7" t="s">
        <v>759</v>
      </c>
      <c r="H139" s="7" t="s">
        <v>775</v>
      </c>
      <c r="I139" s="7" t="s">
        <v>583</v>
      </c>
      <c r="J139" s="7" t="s">
        <v>45</v>
      </c>
      <c r="K139" s="8" t="s">
        <v>46</v>
      </c>
    </row>
    <row r="140" spans="1:11" ht="35.25" customHeight="1">
      <c r="A140" s="7" t="s">
        <v>922</v>
      </c>
      <c r="B140" s="7" t="s">
        <v>627</v>
      </c>
      <c r="C140" s="7" t="s">
        <v>28</v>
      </c>
      <c r="D140" s="7" t="s">
        <v>868</v>
      </c>
      <c r="E140" s="14"/>
      <c r="F140" s="15">
        <v>137</v>
      </c>
      <c r="G140" s="7" t="s">
        <v>759</v>
      </c>
      <c r="H140" s="7" t="s">
        <v>775</v>
      </c>
      <c r="I140" s="7" t="s">
        <v>873</v>
      </c>
      <c r="J140" s="7" t="s">
        <v>45</v>
      </c>
      <c r="K140" s="8" t="s">
        <v>46</v>
      </c>
    </row>
    <row r="141" spans="1:11" ht="35.25" customHeight="1">
      <c r="A141" s="7" t="s">
        <v>923</v>
      </c>
      <c r="B141" s="7" t="s">
        <v>629</v>
      </c>
      <c r="C141" s="7" t="s">
        <v>28</v>
      </c>
      <c r="D141" s="7" t="s">
        <v>774</v>
      </c>
      <c r="E141" s="14"/>
      <c r="F141" s="9">
        <v>48.2</v>
      </c>
      <c r="G141" s="7" t="s">
        <v>759</v>
      </c>
      <c r="H141" s="7" t="s">
        <v>775</v>
      </c>
      <c r="I141" s="7" t="s">
        <v>631</v>
      </c>
      <c r="J141" s="7" t="s">
        <v>45</v>
      </c>
      <c r="K141" s="8" t="s">
        <v>46</v>
      </c>
    </row>
    <row r="142" spans="1:11" ht="35.25" customHeight="1">
      <c r="A142" s="7" t="s">
        <v>924</v>
      </c>
      <c r="B142" s="7" t="s">
        <v>629</v>
      </c>
      <c r="C142" s="7" t="s">
        <v>28</v>
      </c>
      <c r="D142" s="7" t="s">
        <v>777</v>
      </c>
      <c r="E142" s="14"/>
      <c r="F142" s="15">
        <v>252</v>
      </c>
      <c r="G142" s="7" t="s">
        <v>759</v>
      </c>
      <c r="H142" s="7" t="s">
        <v>775</v>
      </c>
      <c r="I142" s="7" t="s">
        <v>631</v>
      </c>
      <c r="J142" s="7" t="s">
        <v>45</v>
      </c>
      <c r="K142" s="8" t="s">
        <v>46</v>
      </c>
    </row>
    <row r="143" spans="1:11" ht="35.25" customHeight="1">
      <c r="A143" s="7" t="s">
        <v>925</v>
      </c>
      <c r="B143" s="7" t="s">
        <v>632</v>
      </c>
      <c r="C143" s="7" t="s">
        <v>278</v>
      </c>
      <c r="D143" s="7" t="s">
        <v>774</v>
      </c>
      <c r="E143" s="14"/>
      <c r="F143" s="9">
        <v>40.6</v>
      </c>
      <c r="G143" s="7" t="s">
        <v>759</v>
      </c>
      <c r="H143" s="7" t="s">
        <v>775</v>
      </c>
      <c r="I143" s="7" t="s">
        <v>636</v>
      </c>
      <c r="J143" s="7" t="s">
        <v>288</v>
      </c>
      <c r="K143" s="8" t="s">
        <v>639</v>
      </c>
    </row>
    <row r="144" spans="1:11" ht="35.25" customHeight="1">
      <c r="A144" s="7" t="s">
        <v>926</v>
      </c>
      <c r="B144" s="7" t="s">
        <v>632</v>
      </c>
      <c r="C144" s="7" t="s">
        <v>278</v>
      </c>
      <c r="D144" s="7" t="s">
        <v>927</v>
      </c>
      <c r="E144" s="14"/>
      <c r="F144" s="9">
        <v>109.6</v>
      </c>
      <c r="G144" s="7" t="s">
        <v>759</v>
      </c>
      <c r="H144" s="7" t="s">
        <v>775</v>
      </c>
      <c r="I144" s="7" t="s">
        <v>928</v>
      </c>
      <c r="J144" s="7" t="s">
        <v>288</v>
      </c>
      <c r="K144" s="8" t="s">
        <v>639</v>
      </c>
    </row>
    <row r="145" spans="1:11" ht="35.25" customHeight="1">
      <c r="A145" s="7" t="s">
        <v>929</v>
      </c>
      <c r="B145" s="7" t="s">
        <v>632</v>
      </c>
      <c r="C145" s="7" t="s">
        <v>278</v>
      </c>
      <c r="D145" s="7" t="s">
        <v>930</v>
      </c>
      <c r="E145" s="9">
        <v>109.6</v>
      </c>
      <c r="F145" s="15">
        <v>29</v>
      </c>
      <c r="G145" s="7" t="s">
        <v>731</v>
      </c>
      <c r="H145" s="7" t="s">
        <v>775</v>
      </c>
      <c r="I145" s="7" t="s">
        <v>636</v>
      </c>
      <c r="J145" s="7" t="s">
        <v>288</v>
      </c>
      <c r="K145" s="8" t="s">
        <v>639</v>
      </c>
    </row>
    <row r="146" spans="1:11" ht="35.25" customHeight="1">
      <c r="A146" s="7" t="s">
        <v>931</v>
      </c>
      <c r="B146" s="7" t="s">
        <v>632</v>
      </c>
      <c r="C146" s="7" t="s">
        <v>278</v>
      </c>
      <c r="D146" s="7" t="s">
        <v>932</v>
      </c>
      <c r="E146" s="14"/>
      <c r="F146" s="11">
        <v>6.3E-2</v>
      </c>
      <c r="G146" s="7" t="s">
        <v>731</v>
      </c>
      <c r="H146" s="7" t="s">
        <v>933</v>
      </c>
      <c r="I146" s="7" t="s">
        <v>934</v>
      </c>
      <c r="J146" s="7" t="s">
        <v>288</v>
      </c>
      <c r="K146" s="8" t="s">
        <v>639</v>
      </c>
    </row>
    <row r="147" spans="1:11" ht="35.25" customHeight="1">
      <c r="A147" s="7" t="s">
        <v>935</v>
      </c>
      <c r="B147" s="7" t="s">
        <v>632</v>
      </c>
      <c r="C147" s="7" t="s">
        <v>278</v>
      </c>
      <c r="D147" s="7" t="s">
        <v>936</v>
      </c>
      <c r="E147" s="14"/>
      <c r="F147" s="15">
        <v>97</v>
      </c>
      <c r="G147" s="7" t="s">
        <v>731</v>
      </c>
      <c r="H147" s="7" t="s">
        <v>775</v>
      </c>
      <c r="I147" s="7" t="s">
        <v>636</v>
      </c>
      <c r="J147" s="7" t="s">
        <v>288</v>
      </c>
      <c r="K147" s="8" t="s">
        <v>639</v>
      </c>
    </row>
    <row r="148" spans="1:11" ht="35.25" customHeight="1">
      <c r="A148" s="7" t="s">
        <v>937</v>
      </c>
      <c r="B148" s="7" t="s">
        <v>640</v>
      </c>
      <c r="C148" s="7" t="s">
        <v>278</v>
      </c>
      <c r="D148" s="7" t="s">
        <v>774</v>
      </c>
      <c r="E148" s="14"/>
      <c r="F148" s="9">
        <v>24.1</v>
      </c>
      <c r="G148" s="7" t="s">
        <v>759</v>
      </c>
      <c r="H148" s="7" t="s">
        <v>775</v>
      </c>
      <c r="I148" s="7" t="s">
        <v>642</v>
      </c>
      <c r="J148" s="7" t="s">
        <v>288</v>
      </c>
      <c r="K148" s="8" t="s">
        <v>639</v>
      </c>
    </row>
    <row r="149" spans="1:11" ht="35.25" customHeight="1">
      <c r="A149" s="7" t="s">
        <v>938</v>
      </c>
      <c r="B149" s="7" t="s">
        <v>640</v>
      </c>
      <c r="C149" s="7" t="s">
        <v>278</v>
      </c>
      <c r="D149" s="7" t="s">
        <v>777</v>
      </c>
      <c r="E149" s="14"/>
      <c r="F149" s="9">
        <v>60.6</v>
      </c>
      <c r="G149" s="7" t="s">
        <v>759</v>
      </c>
      <c r="H149" s="7" t="s">
        <v>775</v>
      </c>
      <c r="I149" s="7" t="s">
        <v>642</v>
      </c>
      <c r="J149" s="7" t="s">
        <v>288</v>
      </c>
      <c r="K149" s="8" t="s">
        <v>639</v>
      </c>
    </row>
    <row r="150" spans="1:11" ht="35.25" customHeight="1">
      <c r="A150" s="7" t="s">
        <v>939</v>
      </c>
      <c r="B150" s="7" t="s">
        <v>640</v>
      </c>
      <c r="C150" s="7" t="s">
        <v>278</v>
      </c>
      <c r="D150" s="7" t="s">
        <v>932</v>
      </c>
      <c r="E150" s="14"/>
      <c r="F150" s="11">
        <v>1.1850000000000001</v>
      </c>
      <c r="G150" s="7" t="s">
        <v>731</v>
      </c>
      <c r="H150" s="7" t="s">
        <v>933</v>
      </c>
      <c r="I150" s="7" t="s">
        <v>940</v>
      </c>
      <c r="J150" s="7" t="s">
        <v>288</v>
      </c>
      <c r="K150" s="8" t="s">
        <v>639</v>
      </c>
    </row>
    <row r="151" spans="1:11" ht="35.25" customHeight="1">
      <c r="A151" s="7" t="s">
        <v>941</v>
      </c>
      <c r="B151" s="7" t="s">
        <v>640</v>
      </c>
      <c r="C151" s="7" t="s">
        <v>278</v>
      </c>
      <c r="D151" s="7" t="s">
        <v>936</v>
      </c>
      <c r="E151" s="14"/>
      <c r="F151" s="15">
        <v>231</v>
      </c>
      <c r="G151" s="7" t="s">
        <v>731</v>
      </c>
      <c r="H151" s="7" t="s">
        <v>775</v>
      </c>
      <c r="I151" s="7" t="s">
        <v>642</v>
      </c>
      <c r="J151" s="7" t="s">
        <v>288</v>
      </c>
      <c r="K151" s="8" t="s">
        <v>639</v>
      </c>
    </row>
    <row r="152" spans="1:11" ht="35.25" customHeight="1">
      <c r="A152" s="7" t="s">
        <v>942</v>
      </c>
      <c r="B152" s="7" t="s">
        <v>640</v>
      </c>
      <c r="C152" s="7" t="s">
        <v>278</v>
      </c>
      <c r="D152" s="7" t="s">
        <v>783</v>
      </c>
      <c r="E152" s="9">
        <v>60.6</v>
      </c>
      <c r="F152" s="9">
        <v>103.6</v>
      </c>
      <c r="G152" s="7" t="s">
        <v>731</v>
      </c>
      <c r="H152" s="7" t="s">
        <v>775</v>
      </c>
      <c r="I152" s="7" t="s">
        <v>642</v>
      </c>
      <c r="J152" s="7" t="s">
        <v>288</v>
      </c>
      <c r="K152" s="8" t="s">
        <v>639</v>
      </c>
    </row>
    <row r="153" spans="1:11" ht="35.25" customHeight="1">
      <c r="A153" s="7" t="s">
        <v>943</v>
      </c>
      <c r="B153" s="7" t="s">
        <v>644</v>
      </c>
      <c r="C153" s="7" t="s">
        <v>278</v>
      </c>
      <c r="D153" s="7" t="s">
        <v>774</v>
      </c>
      <c r="E153" s="14"/>
      <c r="F153" s="9">
        <v>32.9</v>
      </c>
      <c r="G153" s="7" t="s">
        <v>759</v>
      </c>
      <c r="H153" s="7" t="s">
        <v>775</v>
      </c>
      <c r="I153" s="7" t="s">
        <v>642</v>
      </c>
      <c r="J153" s="7" t="s">
        <v>288</v>
      </c>
      <c r="K153" s="8" t="s">
        <v>639</v>
      </c>
    </row>
    <row r="154" spans="1:11" ht="35.25" customHeight="1">
      <c r="A154" s="7" t="s">
        <v>944</v>
      </c>
      <c r="B154" s="7" t="s">
        <v>644</v>
      </c>
      <c r="C154" s="7" t="s">
        <v>278</v>
      </c>
      <c r="D154" s="7" t="s">
        <v>777</v>
      </c>
      <c r="E154" s="14"/>
      <c r="F154" s="9">
        <v>80.400000000000006</v>
      </c>
      <c r="G154" s="7" t="s">
        <v>759</v>
      </c>
      <c r="H154" s="7" t="s">
        <v>775</v>
      </c>
      <c r="I154" s="7" t="s">
        <v>642</v>
      </c>
      <c r="J154" s="7" t="s">
        <v>288</v>
      </c>
      <c r="K154" s="8" t="s">
        <v>639</v>
      </c>
    </row>
    <row r="155" spans="1:11" ht="35.25" customHeight="1">
      <c r="A155" s="7" t="s">
        <v>945</v>
      </c>
      <c r="B155" s="7" t="s">
        <v>644</v>
      </c>
      <c r="C155" s="7" t="s">
        <v>278</v>
      </c>
      <c r="D155" s="7" t="s">
        <v>932</v>
      </c>
      <c r="E155" s="14"/>
      <c r="F155" s="10">
        <v>1.18</v>
      </c>
      <c r="G155" s="7" t="s">
        <v>731</v>
      </c>
      <c r="H155" s="7" t="s">
        <v>933</v>
      </c>
      <c r="I155" s="7" t="s">
        <v>940</v>
      </c>
      <c r="J155" s="7" t="s">
        <v>288</v>
      </c>
      <c r="K155" s="8" t="s">
        <v>639</v>
      </c>
    </row>
    <row r="156" spans="1:11" ht="35.25" customHeight="1">
      <c r="A156" s="7" t="s">
        <v>946</v>
      </c>
      <c r="B156" s="7" t="s">
        <v>644</v>
      </c>
      <c r="C156" s="7" t="s">
        <v>278</v>
      </c>
      <c r="D156" s="7" t="s">
        <v>936</v>
      </c>
      <c r="E156" s="14"/>
      <c r="F156" s="15">
        <v>273</v>
      </c>
      <c r="G156" s="7" t="s">
        <v>731</v>
      </c>
      <c r="H156" s="7" t="s">
        <v>775</v>
      </c>
      <c r="I156" s="7" t="s">
        <v>642</v>
      </c>
      <c r="J156" s="7" t="s">
        <v>288</v>
      </c>
      <c r="K156" s="8" t="s">
        <v>639</v>
      </c>
    </row>
    <row r="157" spans="1:11" ht="35.25" customHeight="1">
      <c r="A157" s="7" t="s">
        <v>947</v>
      </c>
      <c r="B157" s="7" t="s">
        <v>644</v>
      </c>
      <c r="C157" s="7" t="s">
        <v>278</v>
      </c>
      <c r="D157" s="7" t="s">
        <v>783</v>
      </c>
      <c r="E157" s="9">
        <v>80.400000000000006</v>
      </c>
      <c r="F157" s="9">
        <v>125.7</v>
      </c>
      <c r="G157" s="7" t="s">
        <v>731</v>
      </c>
      <c r="H157" s="7" t="s">
        <v>775</v>
      </c>
      <c r="I157" s="7" t="s">
        <v>642</v>
      </c>
      <c r="J157" s="7" t="s">
        <v>288</v>
      </c>
      <c r="K157" s="8" t="s">
        <v>639</v>
      </c>
    </row>
    <row r="158" spans="1:11" ht="35.25" customHeight="1">
      <c r="A158" s="7" t="s">
        <v>948</v>
      </c>
      <c r="B158" s="7" t="s">
        <v>647</v>
      </c>
      <c r="C158" s="7" t="s">
        <v>278</v>
      </c>
      <c r="D158" s="7" t="s">
        <v>774</v>
      </c>
      <c r="E158" s="14"/>
      <c r="F158" s="15">
        <v>27</v>
      </c>
      <c r="G158" s="7" t="s">
        <v>759</v>
      </c>
      <c r="H158" s="7" t="s">
        <v>775</v>
      </c>
      <c r="I158" s="7" t="s">
        <v>649</v>
      </c>
      <c r="J158" s="7" t="s">
        <v>288</v>
      </c>
      <c r="K158" s="8" t="s">
        <v>639</v>
      </c>
    </row>
    <row r="159" spans="1:11" ht="35.25" customHeight="1">
      <c r="A159" s="7" t="s">
        <v>949</v>
      </c>
      <c r="B159" s="7" t="s">
        <v>647</v>
      </c>
      <c r="C159" s="7" t="s">
        <v>278</v>
      </c>
      <c r="D159" s="7" t="s">
        <v>777</v>
      </c>
      <c r="E159" s="14"/>
      <c r="F159" s="9">
        <v>74.599999999999994</v>
      </c>
      <c r="G159" s="7" t="s">
        <v>759</v>
      </c>
      <c r="H159" s="7" t="s">
        <v>775</v>
      </c>
      <c r="I159" s="7" t="s">
        <v>649</v>
      </c>
      <c r="J159" s="7" t="s">
        <v>288</v>
      </c>
      <c r="K159" s="8" t="s">
        <v>639</v>
      </c>
    </row>
    <row r="160" spans="1:11" ht="35.25" customHeight="1">
      <c r="A160" s="7" t="s">
        <v>950</v>
      </c>
      <c r="B160" s="7" t="s">
        <v>647</v>
      </c>
      <c r="C160" s="7" t="s">
        <v>278</v>
      </c>
      <c r="D160" s="7" t="s">
        <v>932</v>
      </c>
      <c r="E160" s="14"/>
      <c r="F160" s="10">
        <v>1.19</v>
      </c>
      <c r="G160" s="7" t="s">
        <v>731</v>
      </c>
      <c r="H160" s="7" t="s">
        <v>933</v>
      </c>
      <c r="I160" s="7" t="s">
        <v>951</v>
      </c>
      <c r="J160" s="7" t="s">
        <v>288</v>
      </c>
      <c r="K160" s="8" t="s">
        <v>639</v>
      </c>
    </row>
    <row r="161" spans="1:11" ht="35.25" customHeight="1">
      <c r="A161" s="7" t="s">
        <v>952</v>
      </c>
      <c r="B161" s="7" t="s">
        <v>647</v>
      </c>
      <c r="C161" s="7" t="s">
        <v>278</v>
      </c>
      <c r="D161" s="7" t="s">
        <v>936</v>
      </c>
      <c r="E161" s="14"/>
      <c r="F161" s="15">
        <v>223</v>
      </c>
      <c r="G161" s="7" t="s">
        <v>731</v>
      </c>
      <c r="H161" s="7" t="s">
        <v>775</v>
      </c>
      <c r="I161" s="7" t="s">
        <v>649</v>
      </c>
      <c r="J161" s="7" t="s">
        <v>288</v>
      </c>
      <c r="K161" s="8" t="s">
        <v>639</v>
      </c>
    </row>
    <row r="162" spans="1:11" ht="35.25" customHeight="1">
      <c r="A162" s="7" t="s">
        <v>953</v>
      </c>
      <c r="B162" s="7" t="s">
        <v>647</v>
      </c>
      <c r="C162" s="7" t="s">
        <v>278</v>
      </c>
      <c r="D162" s="7" t="s">
        <v>783</v>
      </c>
      <c r="E162" s="9">
        <v>74.599999999999994</v>
      </c>
      <c r="F162" s="9">
        <v>101.1</v>
      </c>
      <c r="G162" s="7" t="s">
        <v>731</v>
      </c>
      <c r="H162" s="7" t="s">
        <v>775</v>
      </c>
      <c r="I162" s="7" t="s">
        <v>649</v>
      </c>
      <c r="J162" s="7" t="s">
        <v>288</v>
      </c>
      <c r="K162" s="8" t="s">
        <v>639</v>
      </c>
    </row>
    <row r="163" spans="1:11" ht="35.25" customHeight="1">
      <c r="A163" s="7" t="s">
        <v>954</v>
      </c>
      <c r="B163" s="7" t="s">
        <v>650</v>
      </c>
      <c r="C163" s="7" t="s">
        <v>278</v>
      </c>
      <c r="D163" s="7" t="s">
        <v>774</v>
      </c>
      <c r="E163" s="14"/>
      <c r="F163" s="15">
        <v>79</v>
      </c>
      <c r="G163" s="7" t="s">
        <v>759</v>
      </c>
      <c r="H163" s="7" t="s">
        <v>775</v>
      </c>
      <c r="I163" s="7" t="s">
        <v>636</v>
      </c>
      <c r="J163" s="7" t="s">
        <v>288</v>
      </c>
      <c r="K163" s="8" t="s">
        <v>639</v>
      </c>
    </row>
    <row r="164" spans="1:11" ht="35.25" customHeight="1">
      <c r="A164" s="7" t="s">
        <v>955</v>
      </c>
      <c r="B164" s="7" t="s">
        <v>650</v>
      </c>
      <c r="C164" s="7" t="s">
        <v>278</v>
      </c>
      <c r="D164" s="7" t="s">
        <v>927</v>
      </c>
      <c r="E164" s="14"/>
      <c r="F164" s="9">
        <v>101.6</v>
      </c>
      <c r="G164" s="7" t="s">
        <v>759</v>
      </c>
      <c r="H164" s="7" t="s">
        <v>775</v>
      </c>
      <c r="I164" s="7" t="s">
        <v>928</v>
      </c>
      <c r="J164" s="7" t="s">
        <v>288</v>
      </c>
      <c r="K164" s="8" t="s">
        <v>639</v>
      </c>
    </row>
    <row r="165" spans="1:11" ht="35.25" customHeight="1">
      <c r="A165" s="7" t="s">
        <v>956</v>
      </c>
      <c r="B165" s="7" t="s">
        <v>650</v>
      </c>
      <c r="C165" s="7" t="s">
        <v>278</v>
      </c>
      <c r="D165" s="7" t="s">
        <v>930</v>
      </c>
      <c r="E165" s="9">
        <v>101.6</v>
      </c>
      <c r="F165" s="9">
        <v>10.3</v>
      </c>
      <c r="G165" s="7" t="s">
        <v>731</v>
      </c>
      <c r="H165" s="7" t="s">
        <v>775</v>
      </c>
      <c r="I165" s="7" t="s">
        <v>636</v>
      </c>
      <c r="J165" s="7" t="s">
        <v>288</v>
      </c>
      <c r="K165" s="8" t="s">
        <v>639</v>
      </c>
    </row>
    <row r="166" spans="1:11" ht="35.25" customHeight="1">
      <c r="A166" s="7" t="s">
        <v>957</v>
      </c>
      <c r="B166" s="7" t="s">
        <v>650</v>
      </c>
      <c r="C166" s="7" t="s">
        <v>278</v>
      </c>
      <c r="D166" s="7" t="s">
        <v>932</v>
      </c>
      <c r="E166" s="14"/>
      <c r="F166" s="10">
        <v>0.09</v>
      </c>
      <c r="G166" s="7" t="s">
        <v>731</v>
      </c>
      <c r="H166" s="7" t="s">
        <v>933</v>
      </c>
      <c r="I166" s="7" t="s">
        <v>934</v>
      </c>
      <c r="J166" s="7" t="s">
        <v>288</v>
      </c>
      <c r="K166" s="8" t="s">
        <v>639</v>
      </c>
    </row>
    <row r="167" spans="1:11" ht="35.25" customHeight="1">
      <c r="A167" s="7" t="s">
        <v>958</v>
      </c>
      <c r="B167" s="7" t="s">
        <v>650</v>
      </c>
      <c r="C167" s="7" t="s">
        <v>278</v>
      </c>
      <c r="D167" s="7" t="s">
        <v>936</v>
      </c>
      <c r="E167" s="14"/>
      <c r="F167" s="15">
        <v>119</v>
      </c>
      <c r="G167" s="7" t="s">
        <v>731</v>
      </c>
      <c r="H167" s="7" t="s">
        <v>775</v>
      </c>
      <c r="I167" s="7" t="s">
        <v>636</v>
      </c>
      <c r="J167" s="7" t="s">
        <v>288</v>
      </c>
      <c r="K167" s="8" t="s">
        <v>639</v>
      </c>
    </row>
    <row r="168" spans="1:11" ht="35.25" customHeight="1">
      <c r="A168" s="7" t="s">
        <v>959</v>
      </c>
      <c r="B168" s="7" t="s">
        <v>653</v>
      </c>
      <c r="C168" s="7" t="s">
        <v>278</v>
      </c>
      <c r="D168" s="7" t="s">
        <v>774</v>
      </c>
      <c r="E168" s="14"/>
      <c r="F168" s="9">
        <v>43.9</v>
      </c>
      <c r="G168" s="7" t="s">
        <v>759</v>
      </c>
      <c r="H168" s="7" t="s">
        <v>775</v>
      </c>
      <c r="I168" s="7" t="s">
        <v>642</v>
      </c>
      <c r="J168" s="7" t="s">
        <v>288</v>
      </c>
      <c r="K168" s="8" t="s">
        <v>639</v>
      </c>
    </row>
    <row r="169" spans="1:11" ht="35.25" customHeight="1">
      <c r="A169" s="7" t="s">
        <v>960</v>
      </c>
      <c r="B169" s="7" t="s">
        <v>653</v>
      </c>
      <c r="C169" s="7" t="s">
        <v>278</v>
      </c>
      <c r="D169" s="7" t="s">
        <v>777</v>
      </c>
      <c r="E169" s="14"/>
      <c r="F169" s="9">
        <v>47.1</v>
      </c>
      <c r="G169" s="7" t="s">
        <v>759</v>
      </c>
      <c r="H169" s="7" t="s">
        <v>775</v>
      </c>
      <c r="I169" s="7" t="s">
        <v>642</v>
      </c>
      <c r="J169" s="7" t="s">
        <v>288</v>
      </c>
      <c r="K169" s="8" t="s">
        <v>639</v>
      </c>
    </row>
    <row r="170" spans="1:11" ht="35.25" customHeight="1">
      <c r="A170" s="7" t="s">
        <v>961</v>
      </c>
      <c r="B170" s="7" t="s">
        <v>653</v>
      </c>
      <c r="C170" s="7" t="s">
        <v>278</v>
      </c>
      <c r="D170" s="7" t="s">
        <v>932</v>
      </c>
      <c r="E170" s="14"/>
      <c r="F170" s="10">
        <v>1.31</v>
      </c>
      <c r="G170" s="7" t="s">
        <v>731</v>
      </c>
      <c r="H170" s="7" t="s">
        <v>933</v>
      </c>
      <c r="I170" s="7" t="s">
        <v>940</v>
      </c>
      <c r="J170" s="7" t="s">
        <v>288</v>
      </c>
      <c r="K170" s="8" t="s">
        <v>639</v>
      </c>
    </row>
    <row r="171" spans="1:11" ht="35.25" customHeight="1">
      <c r="A171" s="7" t="s">
        <v>962</v>
      </c>
      <c r="B171" s="7" t="s">
        <v>653</v>
      </c>
      <c r="C171" s="7" t="s">
        <v>278</v>
      </c>
      <c r="D171" s="7" t="s">
        <v>936</v>
      </c>
      <c r="E171" s="14"/>
      <c r="F171" s="15">
        <v>283</v>
      </c>
      <c r="G171" s="7" t="s">
        <v>731</v>
      </c>
      <c r="H171" s="7" t="s">
        <v>775</v>
      </c>
      <c r="I171" s="7" t="s">
        <v>642</v>
      </c>
      <c r="J171" s="7" t="s">
        <v>288</v>
      </c>
      <c r="K171" s="8" t="s">
        <v>639</v>
      </c>
    </row>
    <row r="172" spans="1:11" ht="35.25" customHeight="1">
      <c r="A172" s="7" t="s">
        <v>963</v>
      </c>
      <c r="B172" s="7" t="s">
        <v>653</v>
      </c>
      <c r="C172" s="7" t="s">
        <v>278</v>
      </c>
      <c r="D172" s="7" t="s">
        <v>783</v>
      </c>
      <c r="E172" s="9">
        <v>47.1</v>
      </c>
      <c r="F172" s="9">
        <v>28.3</v>
      </c>
      <c r="G172" s="7" t="s">
        <v>731</v>
      </c>
      <c r="H172" s="7" t="s">
        <v>775</v>
      </c>
      <c r="I172" s="7" t="s">
        <v>642</v>
      </c>
      <c r="J172" s="7" t="s">
        <v>288</v>
      </c>
      <c r="K172" s="8" t="s">
        <v>639</v>
      </c>
    </row>
    <row r="173" spans="1:11" ht="35.25" customHeight="1">
      <c r="A173" s="7" t="s">
        <v>964</v>
      </c>
      <c r="B173" s="7" t="s">
        <v>655</v>
      </c>
      <c r="C173" s="7" t="s">
        <v>278</v>
      </c>
      <c r="D173" s="7" t="s">
        <v>774</v>
      </c>
      <c r="E173" s="14"/>
      <c r="F173" s="15">
        <v>44</v>
      </c>
      <c r="G173" s="7" t="s">
        <v>759</v>
      </c>
      <c r="H173" s="7" t="s">
        <v>775</v>
      </c>
      <c r="I173" s="7" t="s">
        <v>649</v>
      </c>
      <c r="J173" s="7" t="s">
        <v>288</v>
      </c>
      <c r="K173" s="8" t="s">
        <v>639</v>
      </c>
    </row>
    <row r="174" spans="1:11" ht="35.25" customHeight="1">
      <c r="A174" s="7" t="s">
        <v>965</v>
      </c>
      <c r="B174" s="7" t="s">
        <v>655</v>
      </c>
      <c r="C174" s="7" t="s">
        <v>278</v>
      </c>
      <c r="D174" s="7" t="s">
        <v>777</v>
      </c>
      <c r="E174" s="14"/>
      <c r="F174" s="9">
        <v>158.1</v>
      </c>
      <c r="G174" s="7" t="s">
        <v>759</v>
      </c>
      <c r="H174" s="7" t="s">
        <v>775</v>
      </c>
      <c r="I174" s="7" t="s">
        <v>649</v>
      </c>
      <c r="J174" s="7" t="s">
        <v>288</v>
      </c>
      <c r="K174" s="8" t="s">
        <v>639</v>
      </c>
    </row>
    <row r="175" spans="1:11" ht="35.25" customHeight="1">
      <c r="A175" s="7" t="s">
        <v>966</v>
      </c>
      <c r="B175" s="7" t="s">
        <v>655</v>
      </c>
      <c r="C175" s="7" t="s">
        <v>278</v>
      </c>
      <c r="D175" s="7" t="s">
        <v>932</v>
      </c>
      <c r="E175" s="14"/>
      <c r="F175" s="11">
        <v>0.56200000000000006</v>
      </c>
      <c r="G175" s="7" t="s">
        <v>731</v>
      </c>
      <c r="H175" s="7" t="s">
        <v>933</v>
      </c>
      <c r="I175" s="7" t="s">
        <v>951</v>
      </c>
      <c r="J175" s="7" t="s">
        <v>288</v>
      </c>
      <c r="K175" s="8" t="s">
        <v>639</v>
      </c>
    </row>
    <row r="176" spans="1:11" ht="35.25" customHeight="1">
      <c r="A176" s="7" t="s">
        <v>967</v>
      </c>
      <c r="B176" s="7" t="s">
        <v>655</v>
      </c>
      <c r="C176" s="7" t="s">
        <v>278</v>
      </c>
      <c r="D176" s="7" t="s">
        <v>936</v>
      </c>
      <c r="E176" s="14"/>
      <c r="F176" s="15">
        <v>236</v>
      </c>
      <c r="G176" s="7" t="s">
        <v>731</v>
      </c>
      <c r="H176" s="7" t="s">
        <v>775</v>
      </c>
      <c r="I176" s="7" t="s">
        <v>649</v>
      </c>
      <c r="J176" s="7" t="s">
        <v>288</v>
      </c>
      <c r="K176" s="8" t="s">
        <v>639</v>
      </c>
    </row>
    <row r="177" spans="1:11" ht="35.25" customHeight="1">
      <c r="A177" s="7" t="s">
        <v>968</v>
      </c>
      <c r="B177" s="7" t="s">
        <v>655</v>
      </c>
      <c r="C177" s="7" t="s">
        <v>278</v>
      </c>
      <c r="D177" s="7" t="s">
        <v>783</v>
      </c>
      <c r="E177" s="9">
        <v>158.1</v>
      </c>
      <c r="F177" s="9">
        <v>80.8</v>
      </c>
      <c r="G177" s="7" t="s">
        <v>731</v>
      </c>
      <c r="H177" s="7" t="s">
        <v>775</v>
      </c>
      <c r="I177" s="7" t="s">
        <v>649</v>
      </c>
      <c r="J177" s="7" t="s">
        <v>288</v>
      </c>
      <c r="K177" s="8" t="s">
        <v>639</v>
      </c>
    </row>
    <row r="178" spans="1:11" ht="35.25" customHeight="1">
      <c r="A178" s="7" t="s">
        <v>969</v>
      </c>
      <c r="B178" s="7" t="s">
        <v>657</v>
      </c>
      <c r="C178" s="7" t="s">
        <v>278</v>
      </c>
      <c r="D178" s="7" t="s">
        <v>774</v>
      </c>
      <c r="E178" s="14"/>
      <c r="F178" s="15">
        <v>51</v>
      </c>
      <c r="G178" s="7" t="s">
        <v>759</v>
      </c>
      <c r="H178" s="7" t="s">
        <v>775</v>
      </c>
      <c r="I178" s="7" t="s">
        <v>659</v>
      </c>
      <c r="J178" s="7" t="s">
        <v>288</v>
      </c>
      <c r="K178" s="8" t="s">
        <v>639</v>
      </c>
    </row>
    <row r="179" spans="1:11" ht="35.25" customHeight="1">
      <c r="A179" s="7" t="s">
        <v>970</v>
      </c>
      <c r="B179" s="7" t="s">
        <v>657</v>
      </c>
      <c r="C179" s="7" t="s">
        <v>278</v>
      </c>
      <c r="D179" s="7" t="s">
        <v>777</v>
      </c>
      <c r="E179" s="14"/>
      <c r="F179" s="9">
        <v>259.10000000000002</v>
      </c>
      <c r="G179" s="7" t="s">
        <v>759</v>
      </c>
      <c r="H179" s="7" t="s">
        <v>775</v>
      </c>
      <c r="I179" s="7" t="s">
        <v>659</v>
      </c>
      <c r="J179" s="7" t="s">
        <v>288</v>
      </c>
      <c r="K179" s="8" t="s">
        <v>639</v>
      </c>
    </row>
    <row r="180" spans="1:11" ht="35.25" customHeight="1">
      <c r="A180" s="7" t="s">
        <v>971</v>
      </c>
      <c r="B180" s="7" t="s">
        <v>657</v>
      </c>
      <c r="C180" s="7" t="s">
        <v>278</v>
      </c>
      <c r="D180" s="7" t="s">
        <v>932</v>
      </c>
      <c r="E180" s="14"/>
      <c r="F180" s="11">
        <v>0.50600000000000001</v>
      </c>
      <c r="G180" s="7" t="s">
        <v>731</v>
      </c>
      <c r="H180" s="7" t="s">
        <v>933</v>
      </c>
      <c r="I180" s="7" t="s">
        <v>972</v>
      </c>
      <c r="J180" s="7" t="s">
        <v>288</v>
      </c>
      <c r="K180" s="8" t="s">
        <v>639</v>
      </c>
    </row>
    <row r="181" spans="1:11" ht="35.25" customHeight="1">
      <c r="A181" s="7" t="s">
        <v>973</v>
      </c>
      <c r="B181" s="7" t="s">
        <v>657</v>
      </c>
      <c r="C181" s="7" t="s">
        <v>278</v>
      </c>
      <c r="D181" s="7" t="s">
        <v>936</v>
      </c>
      <c r="E181" s="14"/>
      <c r="F181" s="15">
        <v>220</v>
      </c>
      <c r="G181" s="7" t="s">
        <v>731</v>
      </c>
      <c r="H181" s="7" t="s">
        <v>775</v>
      </c>
      <c r="I181" s="7" t="s">
        <v>659</v>
      </c>
      <c r="J181" s="7" t="s">
        <v>288</v>
      </c>
      <c r="K181" s="8" t="s">
        <v>639</v>
      </c>
    </row>
    <row r="182" spans="1:11" ht="35.25" customHeight="1">
      <c r="A182" s="7" t="s">
        <v>974</v>
      </c>
      <c r="B182" s="7" t="s">
        <v>657</v>
      </c>
      <c r="C182" s="7" t="s">
        <v>278</v>
      </c>
      <c r="D182" s="7" t="s">
        <v>783</v>
      </c>
      <c r="E182" s="9">
        <v>259.10000000000002</v>
      </c>
      <c r="F182" s="9">
        <v>118.8</v>
      </c>
      <c r="G182" s="7" t="s">
        <v>731</v>
      </c>
      <c r="H182" s="7" t="s">
        <v>775</v>
      </c>
      <c r="I182" s="7" t="s">
        <v>659</v>
      </c>
      <c r="J182" s="7" t="s">
        <v>288</v>
      </c>
      <c r="K182" s="8" t="s">
        <v>639</v>
      </c>
    </row>
    <row r="183" spans="1:11" ht="35.25" customHeight="1">
      <c r="A183" s="7" t="s">
        <v>975</v>
      </c>
      <c r="B183" s="7" t="s">
        <v>660</v>
      </c>
      <c r="C183" s="7" t="s">
        <v>309</v>
      </c>
      <c r="D183" s="7" t="s">
        <v>779</v>
      </c>
      <c r="E183" s="15">
        <v>150</v>
      </c>
      <c r="F183" s="11">
        <v>9.0999999999999998E-2</v>
      </c>
      <c r="G183" s="7" t="s">
        <v>731</v>
      </c>
      <c r="H183" s="7" t="s">
        <v>775</v>
      </c>
      <c r="I183" s="7" t="s">
        <v>667</v>
      </c>
      <c r="J183" s="7" t="s">
        <v>670</v>
      </c>
      <c r="K183" s="8" t="s">
        <v>325</v>
      </c>
    </row>
    <row r="184" spans="1:11" ht="35.25" customHeight="1">
      <c r="A184" s="7" t="s">
        <v>976</v>
      </c>
      <c r="B184" s="7" t="s">
        <v>660</v>
      </c>
      <c r="C184" s="7" t="s">
        <v>309</v>
      </c>
      <c r="D184" s="7" t="s">
        <v>977</v>
      </c>
      <c r="E184" s="15">
        <v>400</v>
      </c>
      <c r="F184" s="10">
        <v>0.56999999999999995</v>
      </c>
      <c r="G184" s="7" t="s">
        <v>731</v>
      </c>
      <c r="H184" s="7" t="s">
        <v>775</v>
      </c>
      <c r="I184" s="7" t="s">
        <v>667</v>
      </c>
      <c r="J184" s="7" t="s">
        <v>670</v>
      </c>
      <c r="K184" s="8" t="s">
        <v>325</v>
      </c>
    </row>
    <row r="185" spans="1:11" ht="35.25" customHeight="1">
      <c r="A185" s="7" t="s">
        <v>978</v>
      </c>
      <c r="B185" s="7" t="s">
        <v>660</v>
      </c>
      <c r="C185" s="7" t="s">
        <v>309</v>
      </c>
      <c r="D185" s="7" t="s">
        <v>979</v>
      </c>
      <c r="E185" s="15">
        <v>150</v>
      </c>
      <c r="F185" s="9">
        <v>64.3</v>
      </c>
      <c r="G185" s="7" t="s">
        <v>980</v>
      </c>
      <c r="H185" s="7" t="s">
        <v>775</v>
      </c>
      <c r="I185" s="7" t="s">
        <v>667</v>
      </c>
      <c r="J185" s="7" t="s">
        <v>670</v>
      </c>
      <c r="K185" s="8" t="s">
        <v>325</v>
      </c>
    </row>
    <row r="186" spans="1:11" ht="35.25" customHeight="1">
      <c r="A186" s="7" t="s">
        <v>981</v>
      </c>
      <c r="B186" s="7" t="s">
        <v>660</v>
      </c>
      <c r="C186" s="7" t="s">
        <v>309</v>
      </c>
      <c r="D186" s="7" t="s">
        <v>982</v>
      </c>
      <c r="E186" s="15">
        <v>400</v>
      </c>
      <c r="F186" s="15">
        <v>400</v>
      </c>
      <c r="G186" s="7" t="s">
        <v>759</v>
      </c>
      <c r="H186" s="7" t="s">
        <v>983</v>
      </c>
      <c r="I186" s="7" t="s">
        <v>984</v>
      </c>
      <c r="J186" s="7" t="s">
        <v>670</v>
      </c>
      <c r="K186" s="8" t="s">
        <v>325</v>
      </c>
    </row>
    <row r="187" spans="1:11" ht="35.25" customHeight="1">
      <c r="A187" s="7" t="s">
        <v>985</v>
      </c>
      <c r="B187" s="7" t="s">
        <v>671</v>
      </c>
      <c r="C187" s="7" t="s">
        <v>309</v>
      </c>
      <c r="D187" s="7" t="s">
        <v>779</v>
      </c>
      <c r="E187" s="15">
        <v>150</v>
      </c>
      <c r="F187" s="10">
        <v>0.22</v>
      </c>
      <c r="G187" s="7" t="s">
        <v>731</v>
      </c>
      <c r="H187" s="7" t="s">
        <v>775</v>
      </c>
      <c r="I187" s="7" t="s">
        <v>667</v>
      </c>
      <c r="J187" s="7" t="s">
        <v>670</v>
      </c>
      <c r="K187" s="8" t="s">
        <v>325</v>
      </c>
    </row>
    <row r="188" spans="1:11" ht="35.25" customHeight="1">
      <c r="A188" s="7" t="s">
        <v>986</v>
      </c>
      <c r="B188" s="7" t="s">
        <v>671</v>
      </c>
      <c r="C188" s="7" t="s">
        <v>309</v>
      </c>
      <c r="D188" s="7" t="s">
        <v>977</v>
      </c>
      <c r="E188" s="15">
        <v>400</v>
      </c>
      <c r="F188" s="10">
        <v>0.78</v>
      </c>
      <c r="G188" s="7" t="s">
        <v>731</v>
      </c>
      <c r="H188" s="7" t="s">
        <v>775</v>
      </c>
      <c r="I188" s="7" t="s">
        <v>667</v>
      </c>
      <c r="J188" s="7" t="s">
        <v>670</v>
      </c>
      <c r="K188" s="8" t="s">
        <v>325</v>
      </c>
    </row>
    <row r="189" spans="1:11" ht="35.25" customHeight="1">
      <c r="A189" s="7" t="s">
        <v>987</v>
      </c>
      <c r="B189" s="7" t="s">
        <v>671</v>
      </c>
      <c r="C189" s="7" t="s">
        <v>309</v>
      </c>
      <c r="D189" s="7" t="s">
        <v>979</v>
      </c>
      <c r="E189" s="15">
        <v>150</v>
      </c>
      <c r="F189" s="9">
        <v>48.6</v>
      </c>
      <c r="G189" s="7" t="s">
        <v>980</v>
      </c>
      <c r="H189" s="7" t="s">
        <v>775</v>
      </c>
      <c r="I189" s="7" t="s">
        <v>667</v>
      </c>
      <c r="J189" s="7" t="s">
        <v>670</v>
      </c>
      <c r="K189" s="8" t="s">
        <v>325</v>
      </c>
    </row>
    <row r="190" spans="1:11" ht="35.25" customHeight="1">
      <c r="A190" s="7" t="s">
        <v>988</v>
      </c>
      <c r="B190" s="7" t="s">
        <v>671</v>
      </c>
      <c r="C190" s="7" t="s">
        <v>309</v>
      </c>
      <c r="D190" s="7" t="s">
        <v>982</v>
      </c>
      <c r="E190" s="15">
        <v>400</v>
      </c>
      <c r="F190" s="15">
        <v>400</v>
      </c>
      <c r="G190" s="7" t="s">
        <v>759</v>
      </c>
      <c r="H190" s="7" t="s">
        <v>983</v>
      </c>
      <c r="I190" s="7" t="s">
        <v>984</v>
      </c>
      <c r="J190" s="7" t="s">
        <v>670</v>
      </c>
      <c r="K190" s="8" t="s">
        <v>325</v>
      </c>
    </row>
    <row r="191" spans="1:11" ht="35.25" customHeight="1">
      <c r="A191" s="7" t="s">
        <v>989</v>
      </c>
      <c r="B191" s="7" t="s">
        <v>673</v>
      </c>
      <c r="C191" s="7" t="s">
        <v>309</v>
      </c>
      <c r="D191" s="7" t="s">
        <v>779</v>
      </c>
      <c r="E191" s="15">
        <v>150</v>
      </c>
      <c r="F191" s="10">
        <v>0.15</v>
      </c>
      <c r="G191" s="7" t="s">
        <v>731</v>
      </c>
      <c r="H191" s="7" t="s">
        <v>775</v>
      </c>
      <c r="I191" s="7" t="s">
        <v>667</v>
      </c>
      <c r="J191" s="7" t="s">
        <v>670</v>
      </c>
      <c r="K191" s="8" t="s">
        <v>325</v>
      </c>
    </row>
    <row r="192" spans="1:11" ht="35.25" customHeight="1">
      <c r="A192" s="7" t="s">
        <v>990</v>
      </c>
      <c r="B192" s="7" t="s">
        <v>673</v>
      </c>
      <c r="C192" s="7" t="s">
        <v>309</v>
      </c>
      <c r="D192" s="7" t="s">
        <v>977</v>
      </c>
      <c r="E192" s="15">
        <v>400</v>
      </c>
      <c r="F192" s="10">
        <v>0.66</v>
      </c>
      <c r="G192" s="7" t="s">
        <v>731</v>
      </c>
      <c r="H192" s="7" t="s">
        <v>775</v>
      </c>
      <c r="I192" s="7" t="s">
        <v>667</v>
      </c>
      <c r="J192" s="7" t="s">
        <v>670</v>
      </c>
      <c r="K192" s="8" t="s">
        <v>325</v>
      </c>
    </row>
    <row r="193" spans="1:11" ht="35.25" customHeight="1">
      <c r="A193" s="7" t="s">
        <v>991</v>
      </c>
      <c r="B193" s="7" t="s">
        <v>673</v>
      </c>
      <c r="C193" s="7" t="s">
        <v>309</v>
      </c>
      <c r="D193" s="7" t="s">
        <v>979</v>
      </c>
      <c r="E193" s="15">
        <v>150</v>
      </c>
      <c r="F193" s="9">
        <v>26.5</v>
      </c>
      <c r="G193" s="7" t="s">
        <v>980</v>
      </c>
      <c r="H193" s="7" t="s">
        <v>775</v>
      </c>
      <c r="I193" s="7" t="s">
        <v>667</v>
      </c>
      <c r="J193" s="7" t="s">
        <v>670</v>
      </c>
      <c r="K193" s="8" t="s">
        <v>325</v>
      </c>
    </row>
    <row r="194" spans="1:11" ht="35.25" customHeight="1">
      <c r="A194" s="7" t="s">
        <v>992</v>
      </c>
      <c r="B194" s="7" t="s">
        <v>673</v>
      </c>
      <c r="C194" s="7" t="s">
        <v>309</v>
      </c>
      <c r="D194" s="7" t="s">
        <v>982</v>
      </c>
      <c r="E194" s="15">
        <v>400</v>
      </c>
      <c r="F194" s="15">
        <v>400</v>
      </c>
      <c r="G194" s="7" t="s">
        <v>759</v>
      </c>
      <c r="H194" s="7" t="s">
        <v>983</v>
      </c>
      <c r="I194" s="7" t="s">
        <v>984</v>
      </c>
      <c r="J194" s="7" t="s">
        <v>670</v>
      </c>
      <c r="K194" s="8" t="s">
        <v>325</v>
      </c>
    </row>
    <row r="195" spans="1:11" ht="35.25" customHeight="1">
      <c r="A195" s="7" t="s">
        <v>993</v>
      </c>
      <c r="B195" s="7" t="s">
        <v>675</v>
      </c>
      <c r="C195" s="7" t="s">
        <v>309</v>
      </c>
      <c r="D195" s="7" t="s">
        <v>779</v>
      </c>
      <c r="E195" s="15">
        <v>150</v>
      </c>
      <c r="F195" s="10">
        <v>0.17</v>
      </c>
      <c r="G195" s="7" t="s">
        <v>731</v>
      </c>
      <c r="H195" s="7" t="s">
        <v>775</v>
      </c>
      <c r="I195" s="7" t="s">
        <v>667</v>
      </c>
      <c r="J195" s="7" t="s">
        <v>670</v>
      </c>
      <c r="K195" s="8" t="s">
        <v>325</v>
      </c>
    </row>
    <row r="196" spans="1:11" ht="35.25" customHeight="1">
      <c r="A196" s="7" t="s">
        <v>994</v>
      </c>
      <c r="B196" s="7" t="s">
        <v>675</v>
      </c>
      <c r="C196" s="7" t="s">
        <v>309</v>
      </c>
      <c r="D196" s="7" t="s">
        <v>977</v>
      </c>
      <c r="E196" s="15">
        <v>400</v>
      </c>
      <c r="F196" s="10">
        <v>0.72</v>
      </c>
      <c r="G196" s="7" t="s">
        <v>731</v>
      </c>
      <c r="H196" s="7" t="s">
        <v>775</v>
      </c>
      <c r="I196" s="7" t="s">
        <v>667</v>
      </c>
      <c r="J196" s="7" t="s">
        <v>670</v>
      </c>
      <c r="K196" s="8" t="s">
        <v>325</v>
      </c>
    </row>
    <row r="197" spans="1:11" ht="35.25" customHeight="1">
      <c r="A197" s="7" t="s">
        <v>995</v>
      </c>
      <c r="B197" s="7" t="s">
        <v>675</v>
      </c>
      <c r="C197" s="7" t="s">
        <v>309</v>
      </c>
      <c r="D197" s="7" t="s">
        <v>979</v>
      </c>
      <c r="E197" s="15">
        <v>150</v>
      </c>
      <c r="F197" s="15">
        <v>367</v>
      </c>
      <c r="G197" s="7" t="s">
        <v>980</v>
      </c>
      <c r="H197" s="7" t="s">
        <v>775</v>
      </c>
      <c r="I197" s="7" t="s">
        <v>667</v>
      </c>
      <c r="J197" s="7" t="s">
        <v>670</v>
      </c>
      <c r="K197" s="8" t="s">
        <v>325</v>
      </c>
    </row>
    <row r="198" spans="1:11" ht="35.25" customHeight="1">
      <c r="A198" s="7" t="s">
        <v>996</v>
      </c>
      <c r="B198" s="7" t="s">
        <v>675</v>
      </c>
      <c r="C198" s="7" t="s">
        <v>309</v>
      </c>
      <c r="D198" s="7" t="s">
        <v>982</v>
      </c>
      <c r="E198" s="15">
        <v>400</v>
      </c>
      <c r="F198" s="15">
        <v>400</v>
      </c>
      <c r="G198" s="7" t="s">
        <v>759</v>
      </c>
      <c r="H198" s="7" t="s">
        <v>983</v>
      </c>
      <c r="I198" s="7" t="s">
        <v>984</v>
      </c>
      <c r="J198" s="7" t="s">
        <v>670</v>
      </c>
      <c r="K198" s="8" t="s">
        <v>325</v>
      </c>
    </row>
    <row r="199" spans="1:11" ht="35.25" customHeight="1">
      <c r="A199" s="7" t="s">
        <v>997</v>
      </c>
      <c r="B199" s="7" t="s">
        <v>677</v>
      </c>
      <c r="C199" s="7" t="s">
        <v>309</v>
      </c>
      <c r="D199" s="7" t="s">
        <v>779</v>
      </c>
      <c r="E199" s="15">
        <v>150</v>
      </c>
      <c r="F199" s="10">
        <v>0.15</v>
      </c>
      <c r="G199" s="7" t="s">
        <v>731</v>
      </c>
      <c r="H199" s="7" t="s">
        <v>775</v>
      </c>
      <c r="I199" s="7" t="s">
        <v>667</v>
      </c>
      <c r="J199" s="7" t="s">
        <v>670</v>
      </c>
      <c r="K199" s="8" t="s">
        <v>325</v>
      </c>
    </row>
    <row r="200" spans="1:11" ht="35.25" customHeight="1">
      <c r="A200" s="7" t="s">
        <v>998</v>
      </c>
      <c r="B200" s="7" t="s">
        <v>677</v>
      </c>
      <c r="C200" s="7" t="s">
        <v>309</v>
      </c>
      <c r="D200" s="7" t="s">
        <v>977</v>
      </c>
      <c r="E200" s="15">
        <v>400</v>
      </c>
      <c r="F200" s="10">
        <v>0.81</v>
      </c>
      <c r="G200" s="7" t="s">
        <v>731</v>
      </c>
      <c r="H200" s="7" t="s">
        <v>775</v>
      </c>
      <c r="I200" s="7" t="s">
        <v>667</v>
      </c>
      <c r="J200" s="7" t="s">
        <v>670</v>
      </c>
      <c r="K200" s="8" t="s">
        <v>325</v>
      </c>
    </row>
    <row r="201" spans="1:11" ht="35.25" customHeight="1">
      <c r="A201" s="7" t="s">
        <v>999</v>
      </c>
      <c r="B201" s="7" t="s">
        <v>677</v>
      </c>
      <c r="C201" s="7" t="s">
        <v>309</v>
      </c>
      <c r="D201" s="7" t="s">
        <v>982</v>
      </c>
      <c r="E201" s="15">
        <v>400</v>
      </c>
      <c r="F201" s="15">
        <v>400</v>
      </c>
      <c r="G201" s="7" t="s">
        <v>759</v>
      </c>
      <c r="H201" s="7" t="s">
        <v>983</v>
      </c>
      <c r="I201" s="7" t="s">
        <v>984</v>
      </c>
      <c r="J201" s="7" t="s">
        <v>670</v>
      </c>
      <c r="K201" s="8" t="s">
        <v>325</v>
      </c>
    </row>
    <row r="202" spans="1:11" ht="35.25" customHeight="1">
      <c r="A202" s="7" t="s">
        <v>1000</v>
      </c>
      <c r="B202" s="7" t="s">
        <v>680</v>
      </c>
      <c r="C202" s="7" t="s">
        <v>309</v>
      </c>
      <c r="D202" s="7" t="s">
        <v>779</v>
      </c>
      <c r="E202" s="15">
        <v>150</v>
      </c>
      <c r="F202" s="9">
        <v>0.3</v>
      </c>
      <c r="G202" s="7" t="s">
        <v>731</v>
      </c>
      <c r="H202" s="7" t="s">
        <v>775</v>
      </c>
      <c r="I202" s="7" t="s">
        <v>667</v>
      </c>
      <c r="J202" s="7" t="s">
        <v>670</v>
      </c>
      <c r="K202" s="8" t="s">
        <v>325</v>
      </c>
    </row>
    <row r="203" spans="1:11" ht="35.25" customHeight="1">
      <c r="A203" s="7" t="s">
        <v>1001</v>
      </c>
      <c r="B203" s="7" t="s">
        <v>680</v>
      </c>
      <c r="C203" s="7" t="s">
        <v>309</v>
      </c>
      <c r="D203" s="7" t="s">
        <v>977</v>
      </c>
      <c r="E203" s="15">
        <v>400</v>
      </c>
      <c r="F203" s="9">
        <v>1.6</v>
      </c>
      <c r="G203" s="7" t="s">
        <v>731</v>
      </c>
      <c r="H203" s="7" t="s">
        <v>775</v>
      </c>
      <c r="I203" s="7" t="s">
        <v>667</v>
      </c>
      <c r="J203" s="7" t="s">
        <v>670</v>
      </c>
      <c r="K203" s="8" t="s">
        <v>325</v>
      </c>
    </row>
    <row r="204" spans="1:11" ht="35.25" customHeight="1">
      <c r="A204" s="7" t="s">
        <v>1002</v>
      </c>
      <c r="B204" s="7" t="s">
        <v>680</v>
      </c>
      <c r="C204" s="7" t="s">
        <v>309</v>
      </c>
      <c r="D204" s="7" t="s">
        <v>982</v>
      </c>
      <c r="E204" s="15">
        <v>400</v>
      </c>
      <c r="F204" s="15">
        <v>400</v>
      </c>
      <c r="G204" s="7" t="s">
        <v>759</v>
      </c>
      <c r="H204" s="7" t="s">
        <v>983</v>
      </c>
      <c r="I204" s="7" t="s">
        <v>984</v>
      </c>
      <c r="J204" s="7" t="s">
        <v>670</v>
      </c>
      <c r="K204" s="8" t="s">
        <v>325</v>
      </c>
    </row>
    <row r="205" spans="1:11" ht="35.25" customHeight="1">
      <c r="A205" s="7" t="s">
        <v>1003</v>
      </c>
      <c r="B205" s="7" t="s">
        <v>682</v>
      </c>
      <c r="C205" s="7" t="s">
        <v>252</v>
      </c>
      <c r="D205" s="7" t="s">
        <v>1004</v>
      </c>
      <c r="E205" s="14"/>
      <c r="F205" s="15">
        <v>3000000</v>
      </c>
      <c r="G205" s="7" t="s">
        <v>1005</v>
      </c>
      <c r="H205" s="7" t="s">
        <v>1006</v>
      </c>
      <c r="I205" s="7"/>
      <c r="J205" s="7" t="s">
        <v>690</v>
      </c>
      <c r="K205" s="8" t="s">
        <v>691</v>
      </c>
    </row>
    <row r="206" spans="1:11" ht="35.25" customHeight="1">
      <c r="A206" s="7" t="s">
        <v>1007</v>
      </c>
      <c r="B206" s="7" t="s">
        <v>682</v>
      </c>
      <c r="C206" s="7" t="s">
        <v>252</v>
      </c>
      <c r="D206" s="7" t="s">
        <v>1008</v>
      </c>
      <c r="E206" s="14"/>
      <c r="F206" s="15">
        <v>71</v>
      </c>
      <c r="G206" s="7" t="s">
        <v>743</v>
      </c>
      <c r="H206" s="7" t="s">
        <v>1009</v>
      </c>
      <c r="I206" s="7" t="s">
        <v>1010</v>
      </c>
      <c r="J206" s="7" t="s">
        <v>690</v>
      </c>
      <c r="K206" s="8" t="s">
        <v>691</v>
      </c>
    </row>
    <row r="207" spans="1:11" ht="35.25" customHeight="1">
      <c r="A207" s="7" t="s">
        <v>1011</v>
      </c>
      <c r="B207" s="7" t="s">
        <v>682</v>
      </c>
      <c r="C207" s="7" t="s">
        <v>252</v>
      </c>
      <c r="D207" s="7" t="s">
        <v>1012</v>
      </c>
      <c r="E207" s="14"/>
      <c r="F207" s="15">
        <v>780000</v>
      </c>
      <c r="G207" s="7" t="s">
        <v>1005</v>
      </c>
      <c r="H207" s="7" t="s">
        <v>1013</v>
      </c>
      <c r="I207" s="7" t="s">
        <v>1014</v>
      </c>
      <c r="J207" s="7" t="s">
        <v>690</v>
      </c>
      <c r="K207" s="8" t="s">
        <v>691</v>
      </c>
    </row>
    <row r="208" spans="1:11" ht="35.25" customHeight="1">
      <c r="A208" s="7" t="s">
        <v>1015</v>
      </c>
      <c r="B208" s="7" t="s">
        <v>682</v>
      </c>
      <c r="C208" s="7" t="s">
        <v>252</v>
      </c>
      <c r="D208" s="7" t="s">
        <v>1016</v>
      </c>
      <c r="E208" s="14"/>
      <c r="F208" s="15">
        <v>15</v>
      </c>
      <c r="G208" s="7" t="s">
        <v>743</v>
      </c>
      <c r="H208" s="7" t="s">
        <v>1009</v>
      </c>
      <c r="I208" s="7" t="s">
        <v>1017</v>
      </c>
      <c r="J208" s="7" t="s">
        <v>690</v>
      </c>
      <c r="K208" s="8" t="s">
        <v>691</v>
      </c>
    </row>
    <row r="209" spans="1:11" ht="35.25" customHeight="1">
      <c r="A209" s="7" t="s">
        <v>1018</v>
      </c>
      <c r="B209" s="7" t="s">
        <v>692</v>
      </c>
      <c r="C209" s="7" t="s">
        <v>252</v>
      </c>
      <c r="D209" s="7" t="s">
        <v>1004</v>
      </c>
      <c r="E209" s="14"/>
      <c r="F209" s="15">
        <v>3000000</v>
      </c>
      <c r="G209" s="7" t="s">
        <v>1005</v>
      </c>
      <c r="H209" s="7" t="s">
        <v>1006</v>
      </c>
      <c r="I209" s="7"/>
      <c r="J209" s="7" t="s">
        <v>690</v>
      </c>
      <c r="K209" s="8" t="s">
        <v>691</v>
      </c>
    </row>
    <row r="210" spans="1:11" ht="35.25" customHeight="1">
      <c r="A210" s="7" t="s">
        <v>1019</v>
      </c>
      <c r="B210" s="7" t="s">
        <v>692</v>
      </c>
      <c r="C210" s="7" t="s">
        <v>252</v>
      </c>
      <c r="D210" s="7" t="s">
        <v>1008</v>
      </c>
      <c r="E210" s="14"/>
      <c r="F210" s="15">
        <v>54</v>
      </c>
      <c r="G210" s="7" t="s">
        <v>743</v>
      </c>
      <c r="H210" s="7" t="s">
        <v>1009</v>
      </c>
      <c r="I210" s="7" t="s">
        <v>1010</v>
      </c>
      <c r="J210" s="7" t="s">
        <v>690</v>
      </c>
      <c r="K210" s="8" t="s">
        <v>691</v>
      </c>
    </row>
    <row r="211" spans="1:11" ht="35.25" customHeight="1">
      <c r="A211" s="7" t="s">
        <v>1020</v>
      </c>
      <c r="B211" s="7" t="s">
        <v>696</v>
      </c>
      <c r="C211" s="7" t="s">
        <v>106</v>
      </c>
      <c r="D211" s="7" t="s">
        <v>1021</v>
      </c>
      <c r="E211" s="14"/>
      <c r="F211" s="15">
        <v>31</v>
      </c>
      <c r="G211" s="7" t="s">
        <v>980</v>
      </c>
      <c r="H211" s="7" t="s">
        <v>1022</v>
      </c>
      <c r="I211" s="7"/>
      <c r="J211" s="7" t="s">
        <v>702</v>
      </c>
      <c r="K211" s="8" t="s">
        <v>703</v>
      </c>
    </row>
    <row r="212" spans="1:11" ht="35.25" customHeight="1">
      <c r="A212" s="7" t="s">
        <v>1023</v>
      </c>
      <c r="B212" s="7" t="s">
        <v>696</v>
      </c>
      <c r="C212" s="7" t="s">
        <v>106</v>
      </c>
      <c r="D212" s="7" t="s">
        <v>1024</v>
      </c>
      <c r="E212" s="14"/>
      <c r="F212" s="15">
        <v>8</v>
      </c>
      <c r="G212" s="7" t="s">
        <v>980</v>
      </c>
      <c r="H212" s="7" t="s">
        <v>1022</v>
      </c>
      <c r="I212" s="7"/>
      <c r="J212" s="7" t="s">
        <v>702</v>
      </c>
      <c r="K212" s="8" t="s">
        <v>703</v>
      </c>
    </row>
    <row r="213" spans="1:11" ht="35.25" customHeight="1">
      <c r="A213" s="7" t="s">
        <v>1025</v>
      </c>
      <c r="B213" s="7" t="s">
        <v>696</v>
      </c>
      <c r="C213" s="7" t="s">
        <v>106</v>
      </c>
      <c r="D213" s="7" t="s">
        <v>1026</v>
      </c>
      <c r="E213" s="14"/>
      <c r="F213" s="15">
        <v>2</v>
      </c>
      <c r="G213" s="7" t="s">
        <v>731</v>
      </c>
      <c r="H213" s="7" t="s">
        <v>1027</v>
      </c>
      <c r="I213" s="7" t="s">
        <v>1028</v>
      </c>
      <c r="J213" s="7" t="s">
        <v>702</v>
      </c>
      <c r="K213" s="8" t="s">
        <v>703</v>
      </c>
    </row>
    <row r="214" spans="1:11" ht="35.25" customHeight="1">
      <c r="A214" s="7" t="s">
        <v>1029</v>
      </c>
      <c r="B214" s="7" t="s">
        <v>696</v>
      </c>
      <c r="C214" s="7" t="s">
        <v>106</v>
      </c>
      <c r="D214" s="7" t="s">
        <v>1030</v>
      </c>
      <c r="E214" s="14"/>
      <c r="F214" s="15">
        <v>7</v>
      </c>
      <c r="G214" s="7" t="s">
        <v>731</v>
      </c>
      <c r="H214" s="7" t="s">
        <v>1031</v>
      </c>
      <c r="I214" s="7"/>
      <c r="J214" s="7" t="s">
        <v>702</v>
      </c>
      <c r="K214" s="8" t="s">
        <v>703</v>
      </c>
    </row>
    <row r="215" spans="1:11" ht="35.25" customHeight="1">
      <c r="A215" s="7" t="s">
        <v>1032</v>
      </c>
      <c r="B215" s="7" t="s">
        <v>696</v>
      </c>
      <c r="C215" s="7" t="s">
        <v>106</v>
      </c>
      <c r="D215" s="7" t="s">
        <v>1033</v>
      </c>
      <c r="E215" s="14"/>
      <c r="F215" s="15">
        <v>8</v>
      </c>
      <c r="G215" s="7" t="s">
        <v>731</v>
      </c>
      <c r="H215" s="7" t="s">
        <v>1031</v>
      </c>
      <c r="I215" s="7"/>
      <c r="J215" s="7" t="s">
        <v>702</v>
      </c>
      <c r="K215" s="8" t="s">
        <v>703</v>
      </c>
    </row>
    <row r="216" spans="1:11" ht="35.25" customHeight="1">
      <c r="A216" s="7" t="s">
        <v>1034</v>
      </c>
      <c r="B216" s="7" t="s">
        <v>704</v>
      </c>
      <c r="C216" s="7" t="s">
        <v>218</v>
      </c>
      <c r="D216" s="7" t="s">
        <v>1021</v>
      </c>
      <c r="E216" s="14"/>
      <c r="F216" s="15">
        <v>30</v>
      </c>
      <c r="G216" s="7" t="s">
        <v>980</v>
      </c>
      <c r="H216" s="7" t="s">
        <v>1022</v>
      </c>
      <c r="I216" s="7"/>
      <c r="J216" s="7" t="s">
        <v>709</v>
      </c>
      <c r="K216" s="8" t="s">
        <v>710</v>
      </c>
    </row>
    <row r="217" spans="1:11" ht="35.25" customHeight="1">
      <c r="A217" s="7" t="s">
        <v>1035</v>
      </c>
      <c r="B217" s="7" t="s">
        <v>704</v>
      </c>
      <c r="C217" s="7" t="s">
        <v>218</v>
      </c>
      <c r="D217" s="7" t="s">
        <v>1024</v>
      </c>
      <c r="E217" s="14"/>
      <c r="F217" s="15">
        <v>5</v>
      </c>
      <c r="G217" s="7" t="s">
        <v>980</v>
      </c>
      <c r="H217" s="7" t="s">
        <v>1022</v>
      </c>
      <c r="I217" s="7"/>
      <c r="J217" s="7" t="s">
        <v>709</v>
      </c>
      <c r="K217" s="8" t="s">
        <v>710</v>
      </c>
    </row>
    <row r="218" spans="1:11" ht="35.25" customHeight="1">
      <c r="A218" s="7" t="s">
        <v>1036</v>
      </c>
      <c r="B218" s="7" t="s">
        <v>704</v>
      </c>
      <c r="C218" s="7" t="s">
        <v>218</v>
      </c>
      <c r="D218" s="7" t="s">
        <v>1026</v>
      </c>
      <c r="E218" s="14"/>
      <c r="F218" s="15">
        <v>2</v>
      </c>
      <c r="G218" s="7" t="s">
        <v>731</v>
      </c>
      <c r="H218" s="7" t="s">
        <v>1027</v>
      </c>
      <c r="I218" s="7" t="s">
        <v>1028</v>
      </c>
      <c r="J218" s="7" t="s">
        <v>709</v>
      </c>
      <c r="K218" s="8" t="s">
        <v>710</v>
      </c>
    </row>
    <row r="219" spans="1:11" ht="35.25" customHeight="1">
      <c r="A219" s="7" t="s">
        <v>1037</v>
      </c>
      <c r="B219" s="7" t="s">
        <v>711</v>
      </c>
      <c r="C219" s="7" t="s">
        <v>218</v>
      </c>
      <c r="D219" s="7" t="s">
        <v>1021</v>
      </c>
      <c r="E219" s="14"/>
      <c r="F219" s="15">
        <v>34</v>
      </c>
      <c r="G219" s="7" t="s">
        <v>980</v>
      </c>
      <c r="H219" s="7" t="s">
        <v>1022</v>
      </c>
      <c r="I219" s="7"/>
      <c r="J219" s="7" t="s">
        <v>716</v>
      </c>
      <c r="K219" s="8" t="s">
        <v>710</v>
      </c>
    </row>
    <row r="220" spans="1:11" ht="35.25" customHeight="1">
      <c r="A220" s="7" t="s">
        <v>1038</v>
      </c>
      <c r="B220" s="7" t="s">
        <v>711</v>
      </c>
      <c r="C220" s="7" t="s">
        <v>218</v>
      </c>
      <c r="D220" s="7" t="s">
        <v>1024</v>
      </c>
      <c r="E220" s="14"/>
      <c r="F220" s="15">
        <v>8</v>
      </c>
      <c r="G220" s="7" t="s">
        <v>980</v>
      </c>
      <c r="H220" s="7" t="s">
        <v>1022</v>
      </c>
      <c r="I220" s="7"/>
      <c r="J220" s="7" t="s">
        <v>716</v>
      </c>
      <c r="K220" s="8" t="s">
        <v>710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CBD6"/>
  </sheetPr>
  <dimension ref="A1:I1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4.25"/>
  <cols>
    <col min="1" max="1" width="11.125" customWidth="1"/>
    <col min="2" max="2" width="24.5" customWidth="1"/>
    <col min="3" max="3" width="19.5" customWidth="1"/>
    <col min="4" max="4" width="22.25" customWidth="1"/>
    <col min="5" max="5" width="36.625" customWidth="1"/>
    <col min="6" max="6" width="28.875" customWidth="1"/>
    <col min="7" max="7" width="52.25" customWidth="1"/>
    <col min="8" max="9" width="56.625" customWidth="1"/>
  </cols>
  <sheetData>
    <row r="1" spans="1:9" ht="27.95" customHeight="1">
      <c r="A1" s="1"/>
      <c r="B1" s="1"/>
      <c r="C1" s="1"/>
      <c r="D1" s="1"/>
      <c r="E1" s="1"/>
      <c r="F1" s="1"/>
      <c r="G1" s="1"/>
      <c r="H1" s="1"/>
      <c r="I1" s="1"/>
    </row>
    <row r="2" spans="1:9" ht="27.95" customHeight="1">
      <c r="A2" s="2" t="s">
        <v>1039</v>
      </c>
      <c r="B2" s="1"/>
      <c r="C2" s="1"/>
      <c r="D2" s="1"/>
      <c r="E2" s="1"/>
      <c r="F2" s="1"/>
      <c r="G2" s="1"/>
      <c r="H2" s="1"/>
      <c r="I2" s="1"/>
    </row>
    <row r="3" spans="1:9" ht="27.95" customHeight="1">
      <c r="A3" s="3" t="s">
        <v>1040</v>
      </c>
      <c r="B3" s="1"/>
      <c r="C3" s="1"/>
      <c r="D3" s="1"/>
      <c r="E3" s="1"/>
      <c r="F3" s="1"/>
      <c r="G3" s="1"/>
      <c r="H3" s="1"/>
      <c r="I3" s="1"/>
    </row>
    <row r="4" spans="1:9" ht="27.95" customHeight="1">
      <c r="A4" s="4"/>
      <c r="B4" s="4"/>
      <c r="C4" s="4"/>
      <c r="D4" s="4"/>
      <c r="E4" s="4"/>
      <c r="F4" s="4"/>
      <c r="G4" s="4"/>
      <c r="H4" s="4"/>
      <c r="I4" s="4"/>
    </row>
    <row r="5" spans="1:9" ht="27.95" customHeight="1">
      <c r="A5" s="1"/>
      <c r="B5" s="1"/>
      <c r="C5" s="1"/>
      <c r="D5" s="1"/>
      <c r="E5" s="1"/>
      <c r="F5" s="1"/>
      <c r="G5" s="1"/>
      <c r="H5" s="1"/>
      <c r="I5" s="1"/>
    </row>
    <row r="6" spans="1:9" ht="42" customHeight="1">
      <c r="A6" s="5" t="s">
        <v>1041</v>
      </c>
      <c r="B6" s="5" t="s">
        <v>1042</v>
      </c>
      <c r="C6" s="5" t="s">
        <v>1043</v>
      </c>
      <c r="D6" s="5" t="s">
        <v>1044</v>
      </c>
      <c r="E6" s="5" t="s">
        <v>1045</v>
      </c>
      <c r="F6" s="5" t="s">
        <v>1046</v>
      </c>
      <c r="G6" s="5" t="s">
        <v>1047</v>
      </c>
      <c r="H6" s="5" t="s">
        <v>1048</v>
      </c>
      <c r="I6" s="5" t="s">
        <v>1049</v>
      </c>
    </row>
    <row r="7" spans="1:9" ht="35.25" customHeight="1">
      <c r="A7" s="7" t="s">
        <v>1050</v>
      </c>
      <c r="B7" s="7" t="s">
        <v>1051</v>
      </c>
      <c r="C7" s="7" t="s">
        <v>1052</v>
      </c>
      <c r="D7" s="7" t="s">
        <v>1053</v>
      </c>
      <c r="E7" s="7" t="s">
        <v>1054</v>
      </c>
      <c r="F7" s="7" t="s">
        <v>1055</v>
      </c>
      <c r="G7" s="7" t="s">
        <v>1056</v>
      </c>
      <c r="H7" s="7" t="s">
        <v>1057</v>
      </c>
      <c r="I7" s="7" t="s">
        <v>1058</v>
      </c>
    </row>
    <row r="8" spans="1:9" ht="35.25" customHeight="1">
      <c r="A8" s="7" t="s">
        <v>1059</v>
      </c>
      <c r="B8" s="7" t="s">
        <v>1060</v>
      </c>
      <c r="C8" s="7" t="s">
        <v>31</v>
      </c>
      <c r="D8" s="7" t="s">
        <v>1061</v>
      </c>
      <c r="E8" s="7" t="s">
        <v>1062</v>
      </c>
      <c r="F8" s="7" t="s">
        <v>1063</v>
      </c>
      <c r="G8" s="7" t="s">
        <v>1064</v>
      </c>
      <c r="H8" s="7" t="s">
        <v>1065</v>
      </c>
      <c r="I8" s="7" t="s">
        <v>1066</v>
      </c>
    </row>
    <row r="9" spans="1:9" ht="35.25" customHeight="1">
      <c r="A9" s="7" t="s">
        <v>1067</v>
      </c>
      <c r="B9" s="7" t="s">
        <v>1068</v>
      </c>
      <c r="C9" s="7" t="s">
        <v>1069</v>
      </c>
      <c r="D9" s="7" t="s">
        <v>239</v>
      </c>
      <c r="E9" s="7" t="s">
        <v>1070</v>
      </c>
      <c r="F9" s="7" t="s">
        <v>1071</v>
      </c>
      <c r="G9" s="7" t="s">
        <v>1072</v>
      </c>
      <c r="H9" s="7" t="s">
        <v>1073</v>
      </c>
      <c r="I9" s="7" t="s">
        <v>1074</v>
      </c>
    </row>
    <row r="10" spans="1:9" ht="35.25" customHeight="1">
      <c r="A10" s="7" t="s">
        <v>1075</v>
      </c>
      <c r="B10" s="7" t="s">
        <v>1076</v>
      </c>
      <c r="C10" s="7" t="s">
        <v>1077</v>
      </c>
      <c r="D10" s="7" t="s">
        <v>1078</v>
      </c>
      <c r="E10" s="7" t="s">
        <v>1079</v>
      </c>
      <c r="F10" s="7" t="s">
        <v>1080</v>
      </c>
      <c r="G10" s="7" t="s">
        <v>1081</v>
      </c>
      <c r="H10" s="7" t="s">
        <v>1082</v>
      </c>
      <c r="I10" s="7" t="s">
        <v>1083</v>
      </c>
    </row>
    <row r="11" spans="1:9" ht="35.25" customHeight="1">
      <c r="A11" s="7" t="s">
        <v>1084</v>
      </c>
      <c r="B11" s="7" t="s">
        <v>1085</v>
      </c>
      <c r="C11" s="7" t="s">
        <v>1086</v>
      </c>
      <c r="D11" s="7" t="s">
        <v>309</v>
      </c>
      <c r="E11" s="7" t="s">
        <v>1087</v>
      </c>
      <c r="F11" s="7" t="s">
        <v>1088</v>
      </c>
      <c r="G11" s="7" t="s">
        <v>1089</v>
      </c>
      <c r="H11" s="7" t="s">
        <v>1090</v>
      </c>
      <c r="I11" s="7" t="s">
        <v>1091</v>
      </c>
    </row>
    <row r="12" spans="1:9" ht="35.25" customHeight="1">
      <c r="A12" s="7" t="s">
        <v>1092</v>
      </c>
      <c r="B12" s="7" t="s">
        <v>1093</v>
      </c>
      <c r="C12" s="7" t="s">
        <v>1094</v>
      </c>
      <c r="D12" s="7" t="s">
        <v>1095</v>
      </c>
      <c r="E12" s="7" t="s">
        <v>1096</v>
      </c>
      <c r="F12" s="7" t="s">
        <v>1097</v>
      </c>
      <c r="G12" s="7" t="s">
        <v>1098</v>
      </c>
      <c r="H12" s="7" t="s">
        <v>1099</v>
      </c>
      <c r="I12" s="7" t="s">
        <v>1100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CBD6"/>
  </sheetPr>
  <dimension ref="A1:K86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4.25"/>
  <cols>
    <col min="1" max="1" width="11.125" customWidth="1"/>
    <col min="2" max="2" width="20" customWidth="1"/>
    <col min="3" max="3" width="21.625" customWidth="1"/>
    <col min="4" max="4" width="20" customWidth="1"/>
    <col min="5" max="5" width="64.5" customWidth="1"/>
    <col min="6" max="6" width="63.375" customWidth="1"/>
    <col min="7" max="8" width="51.125" customWidth="1"/>
    <col min="9" max="9" width="50" customWidth="1"/>
    <col min="10" max="10" width="17.75" customWidth="1"/>
    <col min="11" max="11" width="25.5" customWidth="1"/>
  </cols>
  <sheetData>
    <row r="1" spans="1:11" ht="27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7.95" customHeight="1">
      <c r="A2" s="2" t="s">
        <v>1101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7.95" customHeight="1">
      <c r="A3" s="3" t="s">
        <v>1102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7.9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27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42" customHeight="1">
      <c r="A6" s="5" t="s">
        <v>2</v>
      </c>
      <c r="B6" s="5" t="s">
        <v>1103</v>
      </c>
      <c r="C6" s="5" t="s">
        <v>1104</v>
      </c>
      <c r="D6" s="5" t="s">
        <v>1105</v>
      </c>
      <c r="E6" s="5" t="s">
        <v>1106</v>
      </c>
      <c r="F6" s="5" t="s">
        <v>1107</v>
      </c>
      <c r="G6" s="5" t="s">
        <v>1108</v>
      </c>
      <c r="H6" s="5" t="s">
        <v>1109</v>
      </c>
      <c r="I6" s="5" t="s">
        <v>1110</v>
      </c>
      <c r="J6" s="5" t="s">
        <v>1111</v>
      </c>
      <c r="K6" s="5" t="s">
        <v>1112</v>
      </c>
    </row>
    <row r="7" spans="1:11" ht="35.25" customHeight="1">
      <c r="A7" s="7" t="s">
        <v>1113</v>
      </c>
      <c r="B7" s="7" t="s">
        <v>1114</v>
      </c>
      <c r="C7" s="7" t="s">
        <v>1115</v>
      </c>
      <c r="D7" s="7" t="s">
        <v>136</v>
      </c>
      <c r="E7" s="7" t="s">
        <v>1116</v>
      </c>
      <c r="F7" s="7"/>
      <c r="G7" s="7" t="s">
        <v>1117</v>
      </c>
      <c r="H7" s="7" t="s">
        <v>1118</v>
      </c>
      <c r="I7" s="8" t="s">
        <v>1119</v>
      </c>
      <c r="J7" s="7" t="s">
        <v>1120</v>
      </c>
      <c r="K7" s="7" t="s">
        <v>1121</v>
      </c>
    </row>
    <row r="8" spans="1:11" ht="35.25" customHeight="1">
      <c r="A8" s="7" t="s">
        <v>28</v>
      </c>
      <c r="B8" s="7" t="s">
        <v>1122</v>
      </c>
      <c r="C8" s="7" t="s">
        <v>1123</v>
      </c>
      <c r="D8" s="7" t="s">
        <v>31</v>
      </c>
      <c r="E8" s="7" t="s">
        <v>1124</v>
      </c>
      <c r="F8" s="7"/>
      <c r="G8" s="7" t="s">
        <v>1125</v>
      </c>
      <c r="H8" s="7" t="s">
        <v>1118</v>
      </c>
      <c r="I8" s="8" t="s">
        <v>46</v>
      </c>
      <c r="J8" s="7" t="s">
        <v>43</v>
      </c>
      <c r="K8" s="7" t="s">
        <v>1126</v>
      </c>
    </row>
    <row r="9" spans="1:11" ht="35.25" customHeight="1">
      <c r="A9" s="7" t="s">
        <v>47</v>
      </c>
      <c r="B9" s="7" t="s">
        <v>1127</v>
      </c>
      <c r="C9" s="7" t="s">
        <v>1123</v>
      </c>
      <c r="D9" s="7" t="s">
        <v>31</v>
      </c>
      <c r="E9" s="7" t="s">
        <v>1128</v>
      </c>
      <c r="F9" s="7"/>
      <c r="G9" s="7" t="s">
        <v>50</v>
      </c>
      <c r="H9" s="7" t="s">
        <v>1118</v>
      </c>
      <c r="I9" s="8" t="s">
        <v>56</v>
      </c>
      <c r="J9" s="7" t="s">
        <v>53</v>
      </c>
      <c r="K9" s="7" t="s">
        <v>1126</v>
      </c>
    </row>
    <row r="10" spans="1:11" ht="35.25" customHeight="1">
      <c r="A10" s="7" t="s">
        <v>58</v>
      </c>
      <c r="B10" s="7" t="s">
        <v>1129</v>
      </c>
      <c r="C10" s="7" t="s">
        <v>1123</v>
      </c>
      <c r="D10" s="7" t="s">
        <v>31</v>
      </c>
      <c r="E10" s="7" t="s">
        <v>1130</v>
      </c>
      <c r="F10" s="7"/>
      <c r="G10" s="7" t="s">
        <v>60</v>
      </c>
      <c r="H10" s="7" t="s">
        <v>1118</v>
      </c>
      <c r="I10" s="8"/>
      <c r="J10" s="7"/>
      <c r="K10" s="7" t="s">
        <v>1126</v>
      </c>
    </row>
    <row r="11" spans="1:11" ht="35.25" customHeight="1">
      <c r="A11" s="7" t="s">
        <v>1131</v>
      </c>
      <c r="B11" s="7" t="s">
        <v>1132</v>
      </c>
      <c r="C11" s="7" t="s">
        <v>1133</v>
      </c>
      <c r="D11" s="7" t="s">
        <v>1134</v>
      </c>
      <c r="E11" s="7" t="s">
        <v>1135</v>
      </c>
      <c r="F11" s="7"/>
      <c r="G11" s="7" t="s">
        <v>1136</v>
      </c>
      <c r="H11" s="7" t="s">
        <v>1118</v>
      </c>
      <c r="I11" s="8"/>
      <c r="J11" s="7"/>
      <c r="K11" s="7" t="s">
        <v>1121</v>
      </c>
    </row>
    <row r="12" spans="1:11" ht="35.25" customHeight="1">
      <c r="A12" s="7" t="s">
        <v>1137</v>
      </c>
      <c r="B12" s="7" t="s">
        <v>1138</v>
      </c>
      <c r="C12" s="7" t="s">
        <v>1133</v>
      </c>
      <c r="D12" s="7" t="s">
        <v>1139</v>
      </c>
      <c r="E12" s="7" t="s">
        <v>1140</v>
      </c>
      <c r="F12" s="7"/>
      <c r="G12" s="7" t="s">
        <v>1141</v>
      </c>
      <c r="H12" s="7" t="s">
        <v>1118</v>
      </c>
      <c r="I12" s="8"/>
      <c r="J12" s="7"/>
      <c r="K12" s="7" t="s">
        <v>1121</v>
      </c>
    </row>
    <row r="13" spans="1:11" ht="35.25" customHeight="1">
      <c r="A13" s="7" t="s">
        <v>1142</v>
      </c>
      <c r="B13" s="7" t="s">
        <v>1143</v>
      </c>
      <c r="C13" s="7" t="s">
        <v>1133</v>
      </c>
      <c r="D13" s="7" t="s">
        <v>1139</v>
      </c>
      <c r="E13" s="7" t="s">
        <v>1144</v>
      </c>
      <c r="F13" s="7"/>
      <c r="G13" s="7" t="s">
        <v>1141</v>
      </c>
      <c r="H13" s="7" t="s">
        <v>1118</v>
      </c>
      <c r="I13" s="8"/>
      <c r="J13" s="7"/>
      <c r="K13" s="7" t="s">
        <v>1121</v>
      </c>
    </row>
    <row r="14" spans="1:11" ht="35.25" customHeight="1">
      <c r="A14" s="7" t="s">
        <v>1145</v>
      </c>
      <c r="B14" s="7" t="s">
        <v>1146</v>
      </c>
      <c r="C14" s="7" t="s">
        <v>1133</v>
      </c>
      <c r="D14" s="7" t="s">
        <v>1147</v>
      </c>
      <c r="E14" s="7" t="s">
        <v>1148</v>
      </c>
      <c r="F14" s="7"/>
      <c r="G14" s="7" t="s">
        <v>1141</v>
      </c>
      <c r="H14" s="7" t="s">
        <v>1118</v>
      </c>
      <c r="I14" s="8"/>
      <c r="J14" s="7"/>
      <c r="K14" s="7" t="s">
        <v>1121</v>
      </c>
    </row>
    <row r="15" spans="1:11" ht="48.75" customHeight="1">
      <c r="A15" s="7" t="s">
        <v>1149</v>
      </c>
      <c r="B15" s="7" t="s">
        <v>1150</v>
      </c>
      <c r="C15" s="7" t="s">
        <v>1133</v>
      </c>
      <c r="D15" s="7" t="s">
        <v>1147</v>
      </c>
      <c r="E15" s="7" t="s">
        <v>1151</v>
      </c>
      <c r="F15" s="7"/>
      <c r="G15" s="7" t="s">
        <v>1152</v>
      </c>
      <c r="H15" s="7" t="s">
        <v>1118</v>
      </c>
      <c r="I15" s="8"/>
      <c r="J15" s="7"/>
      <c r="K15" s="7" t="s">
        <v>1121</v>
      </c>
    </row>
    <row r="16" spans="1:11" ht="48.75" customHeight="1">
      <c r="A16" s="7" t="s">
        <v>63</v>
      </c>
      <c r="B16" s="7" t="s">
        <v>1153</v>
      </c>
      <c r="C16" s="7" t="s">
        <v>1123</v>
      </c>
      <c r="D16" s="7" t="s">
        <v>65</v>
      </c>
      <c r="E16" s="7" t="s">
        <v>1154</v>
      </c>
      <c r="F16" s="7"/>
      <c r="G16" s="7" t="s">
        <v>68</v>
      </c>
      <c r="H16" s="7" t="s">
        <v>1118</v>
      </c>
      <c r="I16" s="8" t="s">
        <v>71</v>
      </c>
      <c r="J16" s="7" t="s">
        <v>1155</v>
      </c>
      <c r="K16" s="7" t="s">
        <v>1126</v>
      </c>
    </row>
    <row r="17" spans="1:11" ht="35.25" customHeight="1">
      <c r="A17" s="7" t="s">
        <v>1156</v>
      </c>
      <c r="B17" s="7" t="s">
        <v>1157</v>
      </c>
      <c r="C17" s="7" t="s">
        <v>1115</v>
      </c>
      <c r="D17" s="7" t="s">
        <v>1158</v>
      </c>
      <c r="E17" s="7" t="s">
        <v>1159</v>
      </c>
      <c r="F17" s="7"/>
      <c r="G17" s="7" t="s">
        <v>1160</v>
      </c>
      <c r="H17" s="7" t="s">
        <v>1118</v>
      </c>
      <c r="I17" s="8"/>
      <c r="J17" s="7" t="s">
        <v>1161</v>
      </c>
      <c r="K17" s="7" t="s">
        <v>1121</v>
      </c>
    </row>
    <row r="18" spans="1:11" ht="48.75" customHeight="1">
      <c r="A18" s="7" t="s">
        <v>73</v>
      </c>
      <c r="B18" s="7" t="s">
        <v>1162</v>
      </c>
      <c r="C18" s="7" t="s">
        <v>1123</v>
      </c>
      <c r="D18" s="7" t="s">
        <v>75</v>
      </c>
      <c r="E18" s="7" t="s">
        <v>1163</v>
      </c>
      <c r="F18" s="7"/>
      <c r="G18" s="7" t="s">
        <v>1164</v>
      </c>
      <c r="H18" s="7" t="s">
        <v>1118</v>
      </c>
      <c r="I18" s="8" t="s">
        <v>85</v>
      </c>
      <c r="J18" s="7"/>
      <c r="K18" s="7" t="s">
        <v>1126</v>
      </c>
    </row>
    <row r="19" spans="1:11" ht="48.75" customHeight="1">
      <c r="A19" s="7" t="s">
        <v>1165</v>
      </c>
      <c r="B19" s="7" t="s">
        <v>1166</v>
      </c>
      <c r="C19" s="7" t="s">
        <v>1167</v>
      </c>
      <c r="D19" s="7" t="s">
        <v>1168</v>
      </c>
      <c r="E19" s="7" t="s">
        <v>1169</v>
      </c>
      <c r="F19" s="7"/>
      <c r="G19" s="7" t="s">
        <v>1170</v>
      </c>
      <c r="H19" s="7" t="s">
        <v>1118</v>
      </c>
      <c r="I19" s="8"/>
      <c r="J19" s="7"/>
      <c r="K19" s="7" t="s">
        <v>1121</v>
      </c>
    </row>
    <row r="20" spans="1:11" ht="35.25" customHeight="1">
      <c r="A20" s="7" t="s">
        <v>1171</v>
      </c>
      <c r="B20" s="7" t="s">
        <v>1172</v>
      </c>
      <c r="C20" s="7" t="s">
        <v>1167</v>
      </c>
      <c r="D20" s="7" t="s">
        <v>1173</v>
      </c>
      <c r="E20" s="7" t="s">
        <v>1174</v>
      </c>
      <c r="F20" s="7"/>
      <c r="G20" s="7" t="s">
        <v>1175</v>
      </c>
      <c r="H20" s="7" t="s">
        <v>1118</v>
      </c>
      <c r="I20" s="8"/>
      <c r="J20" s="7"/>
      <c r="K20" s="7" t="s">
        <v>1121</v>
      </c>
    </row>
    <row r="21" spans="1:11" ht="35.25" customHeight="1">
      <c r="A21" s="7" t="s">
        <v>87</v>
      </c>
      <c r="B21" s="7" t="s">
        <v>1176</v>
      </c>
      <c r="C21" s="7" t="s">
        <v>1123</v>
      </c>
      <c r="D21" s="7" t="s">
        <v>89</v>
      </c>
      <c r="E21" s="7" t="s">
        <v>1177</v>
      </c>
      <c r="F21" s="7"/>
      <c r="G21" s="7" t="s">
        <v>90</v>
      </c>
      <c r="H21" s="7" t="s">
        <v>1118</v>
      </c>
      <c r="I21" s="8" t="s">
        <v>99</v>
      </c>
      <c r="J21" s="7" t="s">
        <v>96</v>
      </c>
      <c r="K21" s="7" t="s">
        <v>1126</v>
      </c>
    </row>
    <row r="22" spans="1:11" ht="35.25" customHeight="1">
      <c r="A22" s="7" t="s">
        <v>1178</v>
      </c>
      <c r="B22" s="7" t="s">
        <v>1179</v>
      </c>
      <c r="C22" s="7" t="s">
        <v>1167</v>
      </c>
      <c r="D22" s="7" t="s">
        <v>1180</v>
      </c>
      <c r="E22" s="7" t="s">
        <v>1181</v>
      </c>
      <c r="F22" s="7"/>
      <c r="G22" s="7" t="s">
        <v>1182</v>
      </c>
      <c r="H22" s="7" t="s">
        <v>1118</v>
      </c>
      <c r="I22" s="8"/>
      <c r="J22" s="7"/>
      <c r="K22" s="7" t="s">
        <v>1121</v>
      </c>
    </row>
    <row r="23" spans="1:11" ht="35.25" customHeight="1">
      <c r="A23" s="7" t="s">
        <v>1183</v>
      </c>
      <c r="B23" s="7" t="s">
        <v>1184</v>
      </c>
      <c r="C23" s="7" t="s">
        <v>1167</v>
      </c>
      <c r="D23" s="7" t="s">
        <v>75</v>
      </c>
      <c r="E23" s="7" t="s">
        <v>1185</v>
      </c>
      <c r="F23" s="7"/>
      <c r="G23" s="7" t="s">
        <v>1186</v>
      </c>
      <c r="H23" s="7" t="s">
        <v>1118</v>
      </c>
      <c r="I23" s="8"/>
      <c r="J23" s="7"/>
      <c r="K23" s="7" t="s">
        <v>1121</v>
      </c>
    </row>
    <row r="24" spans="1:11" ht="35.25" customHeight="1">
      <c r="A24" s="7" t="s">
        <v>101</v>
      </c>
      <c r="B24" s="7" t="s">
        <v>1187</v>
      </c>
      <c r="C24" s="7" t="s">
        <v>1123</v>
      </c>
      <c r="D24" s="7" t="s">
        <v>75</v>
      </c>
      <c r="E24" s="7" t="s">
        <v>1188</v>
      </c>
      <c r="F24" s="7"/>
      <c r="G24" s="7" t="s">
        <v>103</v>
      </c>
      <c r="H24" s="7" t="s">
        <v>1118</v>
      </c>
      <c r="I24" s="8"/>
      <c r="J24" s="7"/>
      <c r="K24" s="7" t="s">
        <v>1126</v>
      </c>
    </row>
    <row r="25" spans="1:11" ht="35.25" customHeight="1">
      <c r="A25" s="7" t="s">
        <v>1189</v>
      </c>
      <c r="B25" s="7" t="s">
        <v>1190</v>
      </c>
      <c r="C25" s="7" t="s">
        <v>1133</v>
      </c>
      <c r="D25" s="7" t="s">
        <v>1191</v>
      </c>
      <c r="E25" s="7" t="s">
        <v>1192</v>
      </c>
      <c r="F25" s="7"/>
      <c r="G25" s="7" t="s">
        <v>1193</v>
      </c>
      <c r="H25" s="7" t="s">
        <v>1118</v>
      </c>
      <c r="I25" s="8"/>
      <c r="J25" s="7"/>
      <c r="K25" s="7" t="s">
        <v>1121</v>
      </c>
    </row>
    <row r="26" spans="1:11" ht="35.25" customHeight="1">
      <c r="A26" s="7" t="s">
        <v>1194</v>
      </c>
      <c r="B26" s="7" t="s">
        <v>1195</v>
      </c>
      <c r="C26" s="7" t="s">
        <v>1167</v>
      </c>
      <c r="D26" s="7" t="s">
        <v>210</v>
      </c>
      <c r="E26" s="7" t="s">
        <v>1196</v>
      </c>
      <c r="F26" s="7"/>
      <c r="G26" s="7" t="s">
        <v>1197</v>
      </c>
      <c r="H26" s="7" t="s">
        <v>1118</v>
      </c>
      <c r="I26" s="8"/>
      <c r="J26" s="7"/>
      <c r="K26" s="7" t="s">
        <v>1121</v>
      </c>
    </row>
    <row r="27" spans="1:11" ht="35.25" customHeight="1">
      <c r="A27" s="7" t="s">
        <v>1198</v>
      </c>
      <c r="B27" s="7" t="s">
        <v>1199</v>
      </c>
      <c r="C27" s="7" t="s">
        <v>1167</v>
      </c>
      <c r="D27" s="7" t="s">
        <v>75</v>
      </c>
      <c r="E27" s="7" t="s">
        <v>1200</v>
      </c>
      <c r="F27" s="7"/>
      <c r="G27" s="7" t="s">
        <v>1201</v>
      </c>
      <c r="H27" s="7" t="s">
        <v>1118</v>
      </c>
      <c r="I27" s="8"/>
      <c r="J27" s="7"/>
      <c r="K27" s="7" t="s">
        <v>1121</v>
      </c>
    </row>
    <row r="28" spans="1:11" ht="48.75" customHeight="1">
      <c r="A28" s="7" t="s">
        <v>106</v>
      </c>
      <c r="B28" s="7" t="s">
        <v>698</v>
      </c>
      <c r="C28" s="7" t="s">
        <v>1202</v>
      </c>
      <c r="D28" s="7" t="s">
        <v>109</v>
      </c>
      <c r="E28" s="7" t="s">
        <v>1203</v>
      </c>
      <c r="F28" s="7"/>
      <c r="G28" s="7" t="s">
        <v>111</v>
      </c>
      <c r="H28" s="7" t="s">
        <v>1118</v>
      </c>
      <c r="I28" s="8" t="s">
        <v>120</v>
      </c>
      <c r="J28" s="7" t="s">
        <v>117</v>
      </c>
      <c r="K28" s="7" t="s">
        <v>1126</v>
      </c>
    </row>
    <row r="29" spans="1:11" ht="35.25" customHeight="1">
      <c r="A29" s="7" t="s">
        <v>122</v>
      </c>
      <c r="B29" s="7" t="s">
        <v>1204</v>
      </c>
      <c r="C29" s="7" t="s">
        <v>1202</v>
      </c>
      <c r="D29" s="7" t="s">
        <v>124</v>
      </c>
      <c r="E29" s="7" t="s">
        <v>1205</v>
      </c>
      <c r="F29" s="7"/>
      <c r="G29" s="7" t="s">
        <v>126</v>
      </c>
      <c r="H29" s="7" t="s">
        <v>1118</v>
      </c>
      <c r="I29" s="8" t="s">
        <v>132</v>
      </c>
      <c r="J29" s="7" t="s">
        <v>130</v>
      </c>
      <c r="K29" s="7" t="s">
        <v>1126</v>
      </c>
    </row>
    <row r="30" spans="1:11" ht="35.25" customHeight="1">
      <c r="A30" s="7" t="s">
        <v>1206</v>
      </c>
      <c r="B30" s="7" t="s">
        <v>1207</v>
      </c>
      <c r="C30" s="7" t="s">
        <v>1167</v>
      </c>
      <c r="D30" s="7" t="s">
        <v>75</v>
      </c>
      <c r="E30" s="7" t="s">
        <v>1208</v>
      </c>
      <c r="F30" s="7"/>
      <c r="G30" s="7" t="s">
        <v>1209</v>
      </c>
      <c r="H30" s="7" t="s">
        <v>1118</v>
      </c>
      <c r="I30" s="8"/>
      <c r="J30" s="7"/>
      <c r="K30" s="7" t="s">
        <v>1121</v>
      </c>
    </row>
    <row r="31" spans="1:11" ht="48.75" customHeight="1">
      <c r="A31" s="7" t="s">
        <v>134</v>
      </c>
      <c r="B31" s="7" t="s">
        <v>1210</v>
      </c>
      <c r="C31" s="7" t="s">
        <v>1123</v>
      </c>
      <c r="D31" s="7" t="s">
        <v>136</v>
      </c>
      <c r="E31" s="7" t="s">
        <v>1211</v>
      </c>
      <c r="F31" s="7"/>
      <c r="G31" s="7" t="s">
        <v>1212</v>
      </c>
      <c r="H31" s="7" t="s">
        <v>1118</v>
      </c>
      <c r="I31" s="8" t="s">
        <v>146</v>
      </c>
      <c r="J31" s="7" t="s">
        <v>144</v>
      </c>
      <c r="K31" s="7" t="s">
        <v>1126</v>
      </c>
    </row>
    <row r="32" spans="1:11" ht="48.75" customHeight="1">
      <c r="A32" s="7" t="s">
        <v>1213</v>
      </c>
      <c r="B32" s="7" t="s">
        <v>1214</v>
      </c>
      <c r="C32" s="7" t="s">
        <v>1115</v>
      </c>
      <c r="D32" s="7" t="s">
        <v>1215</v>
      </c>
      <c r="E32" s="7" t="s">
        <v>1216</v>
      </c>
      <c r="F32" s="7"/>
      <c r="G32" s="7" t="s">
        <v>1217</v>
      </c>
      <c r="H32" s="7" t="s">
        <v>1118</v>
      </c>
      <c r="I32" s="8"/>
      <c r="J32" s="7"/>
      <c r="K32" s="7" t="s">
        <v>1121</v>
      </c>
    </row>
    <row r="33" spans="1:11" ht="35.25" customHeight="1">
      <c r="A33" s="7" t="s">
        <v>148</v>
      </c>
      <c r="B33" s="7" t="s">
        <v>1218</v>
      </c>
      <c r="C33" s="7" t="s">
        <v>1123</v>
      </c>
      <c r="D33" s="7" t="s">
        <v>150</v>
      </c>
      <c r="E33" s="7" t="s">
        <v>1219</v>
      </c>
      <c r="F33" s="7"/>
      <c r="G33" s="7" t="s">
        <v>152</v>
      </c>
      <c r="H33" s="7" t="s">
        <v>1118</v>
      </c>
      <c r="I33" s="8" t="s">
        <v>158</v>
      </c>
      <c r="J33" s="7" t="s">
        <v>156</v>
      </c>
      <c r="K33" s="7" t="s">
        <v>1126</v>
      </c>
    </row>
    <row r="34" spans="1:11" ht="35.25" customHeight="1">
      <c r="A34" s="7" t="s">
        <v>1220</v>
      </c>
      <c r="B34" s="7" t="s">
        <v>1221</v>
      </c>
      <c r="C34" s="7" t="s">
        <v>1133</v>
      </c>
      <c r="D34" s="7" t="s">
        <v>1222</v>
      </c>
      <c r="E34" s="7" t="s">
        <v>1223</v>
      </c>
      <c r="F34" s="7"/>
      <c r="G34" s="7" t="s">
        <v>1224</v>
      </c>
      <c r="H34" s="7" t="s">
        <v>1118</v>
      </c>
      <c r="I34" s="8"/>
      <c r="J34" s="7"/>
      <c r="K34" s="7" t="s">
        <v>1121</v>
      </c>
    </row>
    <row r="35" spans="1:11" ht="48.75" customHeight="1">
      <c r="A35" s="7" t="s">
        <v>1225</v>
      </c>
      <c r="B35" s="7" t="s">
        <v>1226</v>
      </c>
      <c r="C35" s="7" t="s">
        <v>1227</v>
      </c>
      <c r="D35" s="7" t="s">
        <v>1228</v>
      </c>
      <c r="E35" s="7" t="s">
        <v>1229</v>
      </c>
      <c r="F35" s="7"/>
      <c r="G35" s="7" t="s">
        <v>1230</v>
      </c>
      <c r="H35" s="7" t="s">
        <v>1118</v>
      </c>
      <c r="I35" s="8"/>
      <c r="J35" s="7" t="s">
        <v>1231</v>
      </c>
      <c r="K35" s="7" t="s">
        <v>1121</v>
      </c>
    </row>
    <row r="36" spans="1:11" ht="35.25" customHeight="1">
      <c r="A36" s="7" t="s">
        <v>1232</v>
      </c>
      <c r="B36" s="7" t="s">
        <v>1233</v>
      </c>
      <c r="C36" s="7" t="s">
        <v>1167</v>
      </c>
      <c r="D36" s="7" t="s">
        <v>210</v>
      </c>
      <c r="E36" s="7" t="s">
        <v>1234</v>
      </c>
      <c r="F36" s="7"/>
      <c r="G36" s="7" t="s">
        <v>1235</v>
      </c>
      <c r="H36" s="7" t="s">
        <v>1118</v>
      </c>
      <c r="I36" s="8"/>
      <c r="J36" s="7"/>
      <c r="K36" s="7" t="s">
        <v>1121</v>
      </c>
    </row>
    <row r="37" spans="1:11" ht="35.25" customHeight="1">
      <c r="A37" s="7" t="s">
        <v>1236</v>
      </c>
      <c r="B37" s="7" t="s">
        <v>1237</v>
      </c>
      <c r="C37" s="7" t="s">
        <v>1133</v>
      </c>
      <c r="D37" s="7" t="s">
        <v>1191</v>
      </c>
      <c r="E37" s="7" t="s">
        <v>1238</v>
      </c>
      <c r="F37" s="7"/>
      <c r="G37" s="7" t="s">
        <v>1239</v>
      </c>
      <c r="H37" s="7" t="s">
        <v>1118</v>
      </c>
      <c r="I37" s="8"/>
      <c r="J37" s="7"/>
      <c r="K37" s="7" t="s">
        <v>1121</v>
      </c>
    </row>
    <row r="38" spans="1:11" ht="35.25" customHeight="1">
      <c r="A38" s="7" t="s">
        <v>1240</v>
      </c>
      <c r="B38" s="7" t="s">
        <v>1241</v>
      </c>
      <c r="C38" s="7" t="s">
        <v>1133</v>
      </c>
      <c r="D38" s="7" t="s">
        <v>1242</v>
      </c>
      <c r="E38" s="7" t="s">
        <v>1243</v>
      </c>
      <c r="F38" s="7"/>
      <c r="G38" s="7" t="s">
        <v>1244</v>
      </c>
      <c r="H38" s="7" t="s">
        <v>1118</v>
      </c>
      <c r="I38" s="8"/>
      <c r="J38" s="7"/>
      <c r="K38" s="7" t="s">
        <v>1121</v>
      </c>
    </row>
    <row r="39" spans="1:11" ht="35.25" customHeight="1">
      <c r="A39" s="7" t="s">
        <v>1245</v>
      </c>
      <c r="B39" s="7" t="s">
        <v>1246</v>
      </c>
      <c r="C39" s="7" t="s">
        <v>1133</v>
      </c>
      <c r="D39" s="7" t="s">
        <v>1191</v>
      </c>
      <c r="E39" s="7" t="s">
        <v>1247</v>
      </c>
      <c r="F39" s="7"/>
      <c r="G39" s="7" t="s">
        <v>1244</v>
      </c>
      <c r="H39" s="7" t="s">
        <v>1118</v>
      </c>
      <c r="I39" s="8"/>
      <c r="J39" s="7"/>
      <c r="K39" s="7" t="s">
        <v>1121</v>
      </c>
    </row>
    <row r="40" spans="1:11" ht="35.25" customHeight="1">
      <c r="A40" s="7" t="s">
        <v>160</v>
      </c>
      <c r="B40" s="7" t="s">
        <v>1248</v>
      </c>
      <c r="C40" s="7" t="s">
        <v>1123</v>
      </c>
      <c r="D40" s="7" t="s">
        <v>136</v>
      </c>
      <c r="E40" s="7" t="s">
        <v>1249</v>
      </c>
      <c r="F40" s="7"/>
      <c r="G40" s="7" t="s">
        <v>162</v>
      </c>
      <c r="H40" s="7" t="s">
        <v>1118</v>
      </c>
      <c r="I40" s="8"/>
      <c r="J40" s="7"/>
      <c r="K40" s="7" t="s">
        <v>1126</v>
      </c>
    </row>
    <row r="41" spans="1:11" ht="35.25" customHeight="1">
      <c r="A41" s="7" t="s">
        <v>164</v>
      </c>
      <c r="B41" s="7" t="s">
        <v>1250</v>
      </c>
      <c r="C41" s="7" t="s">
        <v>1123</v>
      </c>
      <c r="D41" s="7" t="s">
        <v>136</v>
      </c>
      <c r="E41" s="7" t="s">
        <v>1251</v>
      </c>
      <c r="F41" s="7"/>
      <c r="G41" s="7" t="s">
        <v>1252</v>
      </c>
      <c r="H41" s="7" t="s">
        <v>1118</v>
      </c>
      <c r="I41" s="8" t="s">
        <v>171</v>
      </c>
      <c r="J41" s="7" t="s">
        <v>169</v>
      </c>
      <c r="K41" s="7" t="s">
        <v>1126</v>
      </c>
    </row>
    <row r="42" spans="1:11" ht="35.25" customHeight="1">
      <c r="A42" s="7" t="s">
        <v>172</v>
      </c>
      <c r="B42" s="7" t="s">
        <v>1253</v>
      </c>
      <c r="C42" s="7" t="s">
        <v>1123</v>
      </c>
      <c r="D42" s="7" t="s">
        <v>174</v>
      </c>
      <c r="E42" s="7" t="s">
        <v>1254</v>
      </c>
      <c r="F42" s="7"/>
      <c r="G42" s="7" t="s">
        <v>176</v>
      </c>
      <c r="H42" s="7" t="s">
        <v>1118</v>
      </c>
      <c r="I42" s="8" t="s">
        <v>183</v>
      </c>
      <c r="J42" s="7"/>
      <c r="K42" s="7" t="s">
        <v>1126</v>
      </c>
    </row>
    <row r="43" spans="1:11" ht="48.75" customHeight="1">
      <c r="A43" s="7" t="s">
        <v>1255</v>
      </c>
      <c r="B43" s="7" t="s">
        <v>1256</v>
      </c>
      <c r="C43" s="7" t="s">
        <v>1115</v>
      </c>
      <c r="D43" s="7" t="s">
        <v>1257</v>
      </c>
      <c r="E43" s="7" t="s">
        <v>1258</v>
      </c>
      <c r="F43" s="7"/>
      <c r="G43" s="7" t="s">
        <v>1259</v>
      </c>
      <c r="H43" s="7" t="s">
        <v>1118</v>
      </c>
      <c r="I43" s="8" t="s">
        <v>1260</v>
      </c>
      <c r="J43" s="7" t="s">
        <v>1261</v>
      </c>
      <c r="K43" s="7" t="s">
        <v>1121</v>
      </c>
    </row>
    <row r="44" spans="1:11" ht="48.75" customHeight="1">
      <c r="A44" s="7" t="s">
        <v>185</v>
      </c>
      <c r="B44" s="7" t="s">
        <v>1262</v>
      </c>
      <c r="C44" s="7" t="s">
        <v>1202</v>
      </c>
      <c r="D44" s="7" t="s">
        <v>187</v>
      </c>
      <c r="E44" s="7" t="s">
        <v>1263</v>
      </c>
      <c r="F44" s="7"/>
      <c r="G44" s="7" t="s">
        <v>188</v>
      </c>
      <c r="H44" s="7" t="s">
        <v>1118</v>
      </c>
      <c r="I44" s="8"/>
      <c r="J44" s="7"/>
      <c r="K44" s="7" t="s">
        <v>1126</v>
      </c>
    </row>
    <row r="45" spans="1:11" ht="35.25" customHeight="1">
      <c r="A45" s="7" t="s">
        <v>193</v>
      </c>
      <c r="B45" s="7" t="s">
        <v>1264</v>
      </c>
      <c r="C45" s="7" t="s">
        <v>1123</v>
      </c>
      <c r="D45" s="7" t="s">
        <v>195</v>
      </c>
      <c r="E45" s="7" t="s">
        <v>1265</v>
      </c>
      <c r="F45" s="7"/>
      <c r="G45" s="7" t="s">
        <v>197</v>
      </c>
      <c r="H45" s="7" t="s">
        <v>1118</v>
      </c>
      <c r="I45" s="8" t="s">
        <v>206</v>
      </c>
      <c r="J45" s="7" t="s">
        <v>203</v>
      </c>
      <c r="K45" s="7" t="s">
        <v>1126</v>
      </c>
    </row>
    <row r="46" spans="1:11" ht="35.25" customHeight="1">
      <c r="A46" s="7" t="s">
        <v>208</v>
      </c>
      <c r="B46" s="7" t="s">
        <v>1266</v>
      </c>
      <c r="C46" s="7" t="s">
        <v>1123</v>
      </c>
      <c r="D46" s="7" t="s">
        <v>210</v>
      </c>
      <c r="E46" s="7" t="s">
        <v>1267</v>
      </c>
      <c r="F46" s="7"/>
      <c r="G46" s="7" t="s">
        <v>214</v>
      </c>
      <c r="H46" s="7" t="s">
        <v>1118</v>
      </c>
      <c r="I46" s="8" t="s">
        <v>216</v>
      </c>
      <c r="J46" s="7"/>
      <c r="K46" s="7" t="s">
        <v>1126</v>
      </c>
    </row>
    <row r="47" spans="1:11" ht="48.75" customHeight="1">
      <c r="A47" s="7" t="s">
        <v>218</v>
      </c>
      <c r="B47" s="7" t="s">
        <v>1268</v>
      </c>
      <c r="C47" s="7" t="s">
        <v>1202</v>
      </c>
      <c r="D47" s="7" t="s">
        <v>220</v>
      </c>
      <c r="E47" s="7" t="s">
        <v>1269</v>
      </c>
      <c r="F47" s="7"/>
      <c r="G47" s="7" t="s">
        <v>222</v>
      </c>
      <c r="H47" s="7" t="s">
        <v>1118</v>
      </c>
      <c r="I47" s="8" t="s">
        <v>229</v>
      </c>
      <c r="J47" s="7" t="s">
        <v>1270</v>
      </c>
      <c r="K47" s="7" t="s">
        <v>1126</v>
      </c>
    </row>
    <row r="48" spans="1:11" ht="35.25" customHeight="1">
      <c r="A48" s="7" t="s">
        <v>1271</v>
      </c>
      <c r="B48" s="7" t="s">
        <v>1272</v>
      </c>
      <c r="C48" s="7" t="s">
        <v>1167</v>
      </c>
      <c r="D48" s="7" t="s">
        <v>31</v>
      </c>
      <c r="E48" s="7" t="s">
        <v>1273</v>
      </c>
      <c r="F48" s="7"/>
      <c r="G48" s="7" t="s">
        <v>1274</v>
      </c>
      <c r="H48" s="7" t="s">
        <v>1118</v>
      </c>
      <c r="I48" s="8"/>
      <c r="J48" s="7"/>
      <c r="K48" s="7" t="s">
        <v>1121</v>
      </c>
    </row>
    <row r="49" spans="1:11" ht="35.25" customHeight="1">
      <c r="A49" s="7" t="s">
        <v>231</v>
      </c>
      <c r="B49" s="7" t="s">
        <v>1275</v>
      </c>
      <c r="C49" s="7" t="s">
        <v>1123</v>
      </c>
      <c r="D49" s="7" t="s">
        <v>31</v>
      </c>
      <c r="E49" s="7" t="s">
        <v>1276</v>
      </c>
      <c r="F49" s="7"/>
      <c r="G49" s="7" t="s">
        <v>1277</v>
      </c>
      <c r="H49" s="7" t="s">
        <v>1118</v>
      </c>
      <c r="I49" s="8" t="s">
        <v>237</v>
      </c>
      <c r="J49" s="7"/>
      <c r="K49" s="7" t="s">
        <v>1126</v>
      </c>
    </row>
    <row r="50" spans="1:11" ht="48.75" customHeight="1">
      <c r="A50" s="7" t="s">
        <v>239</v>
      </c>
      <c r="B50" s="7" t="s">
        <v>1278</v>
      </c>
      <c r="C50" s="7" t="s">
        <v>1123</v>
      </c>
      <c r="D50" s="7" t="s">
        <v>136</v>
      </c>
      <c r="E50" s="7" t="s">
        <v>1279</v>
      </c>
      <c r="F50" s="7"/>
      <c r="G50" s="7" t="s">
        <v>1280</v>
      </c>
      <c r="H50" s="7" t="s">
        <v>1118</v>
      </c>
      <c r="I50" s="8" t="s">
        <v>250</v>
      </c>
      <c r="J50" s="7" t="s">
        <v>247</v>
      </c>
      <c r="K50" s="7" t="s">
        <v>1126</v>
      </c>
    </row>
    <row r="51" spans="1:11" ht="35.25" customHeight="1">
      <c r="A51" s="7" t="s">
        <v>1281</v>
      </c>
      <c r="B51" s="7" t="s">
        <v>1282</v>
      </c>
      <c r="C51" s="7" t="s">
        <v>1133</v>
      </c>
      <c r="D51" s="7" t="s">
        <v>1283</v>
      </c>
      <c r="E51" s="7" t="s">
        <v>1284</v>
      </c>
      <c r="F51" s="7"/>
      <c r="G51" s="7" t="s">
        <v>1285</v>
      </c>
      <c r="H51" s="7" t="s">
        <v>1118</v>
      </c>
      <c r="I51" s="8"/>
      <c r="J51" s="7"/>
      <c r="K51" s="7" t="s">
        <v>1121</v>
      </c>
    </row>
    <row r="52" spans="1:11" ht="48.75" customHeight="1">
      <c r="A52" s="7" t="s">
        <v>1286</v>
      </c>
      <c r="B52" s="7" t="s">
        <v>1287</v>
      </c>
      <c r="C52" s="7" t="s">
        <v>1167</v>
      </c>
      <c r="D52" s="7" t="s">
        <v>1180</v>
      </c>
      <c r="E52" s="7" t="s">
        <v>1288</v>
      </c>
      <c r="F52" s="7"/>
      <c r="G52" s="7" t="s">
        <v>1289</v>
      </c>
      <c r="H52" s="7" t="s">
        <v>1118</v>
      </c>
      <c r="I52" s="8"/>
      <c r="J52" s="7"/>
      <c r="K52" s="7" t="s">
        <v>1121</v>
      </c>
    </row>
    <row r="53" spans="1:11" ht="35.25" customHeight="1">
      <c r="A53" s="7" t="s">
        <v>1290</v>
      </c>
      <c r="B53" s="7" t="s">
        <v>1291</v>
      </c>
      <c r="C53" s="7" t="s">
        <v>1227</v>
      </c>
      <c r="D53" s="7" t="s">
        <v>1292</v>
      </c>
      <c r="E53" s="7" t="s">
        <v>1293</v>
      </c>
      <c r="F53" s="7"/>
      <c r="G53" s="7" t="s">
        <v>1294</v>
      </c>
      <c r="H53" s="7" t="s">
        <v>1118</v>
      </c>
      <c r="I53" s="8"/>
      <c r="J53" s="7"/>
      <c r="K53" s="7" t="s">
        <v>1121</v>
      </c>
    </row>
    <row r="54" spans="1:11" ht="35.25" customHeight="1">
      <c r="A54" s="7" t="s">
        <v>252</v>
      </c>
      <c r="B54" s="7" t="s">
        <v>1295</v>
      </c>
      <c r="C54" s="7" t="s">
        <v>1123</v>
      </c>
      <c r="D54" s="7" t="s">
        <v>254</v>
      </c>
      <c r="E54" s="7" t="s">
        <v>1296</v>
      </c>
      <c r="F54" s="7"/>
      <c r="G54" s="7" t="s">
        <v>256</v>
      </c>
      <c r="H54" s="7" t="s">
        <v>1118</v>
      </c>
      <c r="I54" s="8" t="s">
        <v>262</v>
      </c>
      <c r="J54" s="7"/>
      <c r="K54" s="7" t="s">
        <v>1126</v>
      </c>
    </row>
    <row r="55" spans="1:11" ht="35.25" customHeight="1">
      <c r="A55" s="7" t="s">
        <v>1297</v>
      </c>
      <c r="B55" s="7" t="s">
        <v>1298</v>
      </c>
      <c r="C55" s="7" t="s">
        <v>1227</v>
      </c>
      <c r="D55" s="7" t="s">
        <v>1299</v>
      </c>
      <c r="E55" s="7" t="s">
        <v>1300</v>
      </c>
      <c r="F55" s="7"/>
      <c r="G55" s="7" t="s">
        <v>1301</v>
      </c>
      <c r="H55" s="7" t="s">
        <v>1118</v>
      </c>
      <c r="I55" s="8"/>
      <c r="J55" s="7"/>
      <c r="K55" s="7" t="s">
        <v>1121</v>
      </c>
    </row>
    <row r="56" spans="1:11" ht="48.75" customHeight="1">
      <c r="A56" s="7" t="s">
        <v>1302</v>
      </c>
      <c r="B56" s="7" t="s">
        <v>1303</v>
      </c>
      <c r="C56" s="7" t="s">
        <v>1115</v>
      </c>
      <c r="D56" s="7" t="s">
        <v>1304</v>
      </c>
      <c r="E56" s="7" t="s">
        <v>1305</v>
      </c>
      <c r="F56" s="7"/>
      <c r="G56" s="7" t="s">
        <v>1306</v>
      </c>
      <c r="H56" s="7" t="s">
        <v>1118</v>
      </c>
      <c r="I56" s="8"/>
      <c r="J56" s="7"/>
      <c r="K56" s="7" t="s">
        <v>1121</v>
      </c>
    </row>
    <row r="57" spans="1:11" ht="35.25" customHeight="1">
      <c r="A57" s="7" t="s">
        <v>1307</v>
      </c>
      <c r="B57" s="7" t="s">
        <v>1308</v>
      </c>
      <c r="C57" s="7" t="s">
        <v>1133</v>
      </c>
      <c r="D57" s="7" t="s">
        <v>1309</v>
      </c>
      <c r="E57" s="7" t="s">
        <v>1310</v>
      </c>
      <c r="F57" s="7"/>
      <c r="G57" s="7" t="s">
        <v>1311</v>
      </c>
      <c r="H57" s="7" t="s">
        <v>1118</v>
      </c>
      <c r="I57" s="8"/>
      <c r="J57" s="7"/>
      <c r="K57" s="7" t="s">
        <v>1121</v>
      </c>
    </row>
    <row r="58" spans="1:11" ht="35.25" customHeight="1">
      <c r="A58" s="7" t="s">
        <v>1312</v>
      </c>
      <c r="B58" s="7" t="s">
        <v>1313</v>
      </c>
      <c r="C58" s="7" t="s">
        <v>1133</v>
      </c>
      <c r="D58" s="7" t="s">
        <v>1314</v>
      </c>
      <c r="E58" s="7" t="s">
        <v>1315</v>
      </c>
      <c r="F58" s="7"/>
      <c r="G58" s="7" t="s">
        <v>1316</v>
      </c>
      <c r="H58" s="7" t="s">
        <v>1118</v>
      </c>
      <c r="I58" s="8"/>
      <c r="J58" s="7"/>
      <c r="K58" s="7" t="s">
        <v>1121</v>
      </c>
    </row>
    <row r="59" spans="1:11" ht="35.25" customHeight="1">
      <c r="A59" s="7" t="s">
        <v>1317</v>
      </c>
      <c r="B59" s="7" t="s">
        <v>1318</v>
      </c>
      <c r="C59" s="7" t="s">
        <v>1133</v>
      </c>
      <c r="D59" s="7" t="s">
        <v>1309</v>
      </c>
      <c r="E59" s="7" t="s">
        <v>1319</v>
      </c>
      <c r="F59" s="7"/>
      <c r="G59" s="7" t="s">
        <v>1320</v>
      </c>
      <c r="H59" s="7" t="s">
        <v>1118</v>
      </c>
      <c r="I59" s="8"/>
      <c r="J59" s="7"/>
      <c r="K59" s="7" t="s">
        <v>1121</v>
      </c>
    </row>
    <row r="60" spans="1:11" ht="35.25" customHeight="1">
      <c r="A60" s="7" t="s">
        <v>1321</v>
      </c>
      <c r="B60" s="7" t="s">
        <v>1322</v>
      </c>
      <c r="C60" s="7" t="s">
        <v>1133</v>
      </c>
      <c r="D60" s="7" t="s">
        <v>1309</v>
      </c>
      <c r="E60" s="7" t="s">
        <v>1323</v>
      </c>
      <c r="F60" s="7"/>
      <c r="G60" s="7" t="s">
        <v>1324</v>
      </c>
      <c r="H60" s="7" t="s">
        <v>1118</v>
      </c>
      <c r="I60" s="8"/>
      <c r="J60" s="7"/>
      <c r="K60" s="7" t="s">
        <v>1121</v>
      </c>
    </row>
    <row r="61" spans="1:11" ht="35.25" customHeight="1">
      <c r="A61" s="7" t="s">
        <v>264</v>
      </c>
      <c r="B61" s="7" t="s">
        <v>1325</v>
      </c>
      <c r="C61" s="7" t="s">
        <v>1123</v>
      </c>
      <c r="D61" s="7" t="s">
        <v>266</v>
      </c>
      <c r="E61" s="7" t="s">
        <v>1326</v>
      </c>
      <c r="F61" s="7"/>
      <c r="G61" s="7" t="s">
        <v>267</v>
      </c>
      <c r="H61" s="7" t="s">
        <v>1118</v>
      </c>
      <c r="I61" s="8" t="s">
        <v>272</v>
      </c>
      <c r="J61" s="7"/>
      <c r="K61" s="7" t="s">
        <v>1126</v>
      </c>
    </row>
    <row r="62" spans="1:11" ht="35.25" customHeight="1">
      <c r="A62" s="7" t="s">
        <v>1327</v>
      </c>
      <c r="B62" s="7" t="s">
        <v>1328</v>
      </c>
      <c r="C62" s="7" t="s">
        <v>1167</v>
      </c>
      <c r="D62" s="7" t="s">
        <v>1173</v>
      </c>
      <c r="E62" s="7" t="s">
        <v>1329</v>
      </c>
      <c r="F62" s="7"/>
      <c r="G62" s="7" t="s">
        <v>1330</v>
      </c>
      <c r="H62" s="7" t="s">
        <v>1118</v>
      </c>
      <c r="I62" s="8"/>
      <c r="J62" s="7"/>
      <c r="K62" s="7" t="s">
        <v>1121</v>
      </c>
    </row>
    <row r="63" spans="1:11" ht="35.25" customHeight="1">
      <c r="A63" s="7" t="s">
        <v>1331</v>
      </c>
      <c r="B63" s="7" t="s">
        <v>1332</v>
      </c>
      <c r="C63" s="7" t="s">
        <v>1333</v>
      </c>
      <c r="D63" s="7" t="s">
        <v>1334</v>
      </c>
      <c r="E63" s="7" t="s">
        <v>1335</v>
      </c>
      <c r="F63" s="7"/>
      <c r="G63" s="7" t="s">
        <v>1336</v>
      </c>
      <c r="H63" s="7" t="s">
        <v>1118</v>
      </c>
      <c r="I63" s="8"/>
      <c r="J63" s="7"/>
      <c r="K63" s="7" t="s">
        <v>1121</v>
      </c>
    </row>
    <row r="64" spans="1:11" ht="35.25" customHeight="1">
      <c r="A64" s="7" t="s">
        <v>274</v>
      </c>
      <c r="B64" s="7" t="s">
        <v>1337</v>
      </c>
      <c r="C64" s="7" t="s">
        <v>1123</v>
      </c>
      <c r="D64" s="7" t="s">
        <v>276</v>
      </c>
      <c r="E64" s="7" t="s">
        <v>1338</v>
      </c>
      <c r="F64" s="7"/>
      <c r="G64" s="7" t="s">
        <v>277</v>
      </c>
      <c r="H64" s="7" t="s">
        <v>1118</v>
      </c>
      <c r="I64" s="8"/>
      <c r="J64" s="7"/>
      <c r="K64" s="7" t="s">
        <v>1126</v>
      </c>
    </row>
    <row r="65" spans="1:11" ht="35.25" customHeight="1">
      <c r="A65" s="7" t="s">
        <v>1339</v>
      </c>
      <c r="B65" s="7" t="s">
        <v>1340</v>
      </c>
      <c r="C65" s="7" t="s">
        <v>1167</v>
      </c>
      <c r="D65" s="7" t="s">
        <v>1173</v>
      </c>
      <c r="E65" s="7" t="s">
        <v>1341</v>
      </c>
      <c r="F65" s="7"/>
      <c r="G65" s="7" t="s">
        <v>1342</v>
      </c>
      <c r="H65" s="7" t="s">
        <v>1118</v>
      </c>
      <c r="I65" s="8"/>
      <c r="J65" s="7"/>
      <c r="K65" s="7" t="s">
        <v>1121</v>
      </c>
    </row>
    <row r="66" spans="1:11" ht="48.75" customHeight="1">
      <c r="A66" s="7" t="s">
        <v>278</v>
      </c>
      <c r="B66" s="7" t="s">
        <v>1343</v>
      </c>
      <c r="C66" s="7" t="s">
        <v>1123</v>
      </c>
      <c r="D66" s="7" t="s">
        <v>280</v>
      </c>
      <c r="E66" s="7" t="s">
        <v>1344</v>
      </c>
      <c r="F66" s="7" t="s">
        <v>1345</v>
      </c>
      <c r="G66" s="7" t="s">
        <v>286</v>
      </c>
      <c r="H66" s="7" t="s">
        <v>1118</v>
      </c>
      <c r="I66" s="8" t="s">
        <v>289</v>
      </c>
      <c r="J66" s="7"/>
      <c r="K66" s="7" t="s">
        <v>1126</v>
      </c>
    </row>
    <row r="67" spans="1:11" ht="48.75" customHeight="1">
      <c r="A67" s="7" t="s">
        <v>1346</v>
      </c>
      <c r="B67" s="7" t="s">
        <v>1347</v>
      </c>
      <c r="C67" s="7" t="s">
        <v>1167</v>
      </c>
      <c r="D67" s="7" t="s">
        <v>1348</v>
      </c>
      <c r="E67" s="7" t="s">
        <v>1349</v>
      </c>
      <c r="F67" s="7"/>
      <c r="G67" s="7" t="s">
        <v>1350</v>
      </c>
      <c r="H67" s="7" t="s">
        <v>1118</v>
      </c>
      <c r="I67" s="8"/>
      <c r="J67" s="7"/>
      <c r="K67" s="7" t="s">
        <v>1121</v>
      </c>
    </row>
    <row r="68" spans="1:11" ht="35.25" customHeight="1">
      <c r="A68" s="7" t="s">
        <v>1351</v>
      </c>
      <c r="B68" s="7" t="s">
        <v>1352</v>
      </c>
      <c r="C68" s="7" t="s">
        <v>1167</v>
      </c>
      <c r="D68" s="7" t="s">
        <v>75</v>
      </c>
      <c r="E68" s="7" t="s">
        <v>1353</v>
      </c>
      <c r="F68" s="7"/>
      <c r="G68" s="7" t="s">
        <v>1354</v>
      </c>
      <c r="H68" s="7" t="s">
        <v>1118</v>
      </c>
      <c r="I68" s="8"/>
      <c r="J68" s="7"/>
      <c r="K68" s="7" t="s">
        <v>1121</v>
      </c>
    </row>
    <row r="69" spans="1:11" ht="35.25" customHeight="1">
      <c r="A69" s="7" t="s">
        <v>1355</v>
      </c>
      <c r="B69" s="7" t="s">
        <v>1356</v>
      </c>
      <c r="C69" s="7" t="s">
        <v>1133</v>
      </c>
      <c r="D69" s="7" t="s">
        <v>1309</v>
      </c>
      <c r="E69" s="7" t="s">
        <v>1357</v>
      </c>
      <c r="F69" s="7"/>
      <c r="G69" s="7" t="s">
        <v>1358</v>
      </c>
      <c r="H69" s="7" t="s">
        <v>1118</v>
      </c>
      <c r="I69" s="8"/>
      <c r="J69" s="7"/>
      <c r="K69" s="7" t="s">
        <v>1121</v>
      </c>
    </row>
    <row r="70" spans="1:11" ht="35.25" customHeight="1">
      <c r="A70" s="7" t="s">
        <v>1359</v>
      </c>
      <c r="B70" s="7" t="s">
        <v>1360</v>
      </c>
      <c r="C70" s="7" t="s">
        <v>1167</v>
      </c>
      <c r="D70" s="7" t="s">
        <v>75</v>
      </c>
      <c r="E70" s="7" t="s">
        <v>1361</v>
      </c>
      <c r="F70" s="7"/>
      <c r="G70" s="7" t="s">
        <v>1362</v>
      </c>
      <c r="H70" s="7" t="s">
        <v>1118</v>
      </c>
      <c r="I70" s="8"/>
      <c r="J70" s="7"/>
      <c r="K70" s="7" t="s">
        <v>1121</v>
      </c>
    </row>
    <row r="71" spans="1:11" ht="35.25" customHeight="1">
      <c r="A71" s="7" t="s">
        <v>1363</v>
      </c>
      <c r="B71" s="7" t="s">
        <v>1364</v>
      </c>
      <c r="C71" s="7" t="s">
        <v>1167</v>
      </c>
      <c r="D71" s="7" t="s">
        <v>75</v>
      </c>
      <c r="E71" s="7" t="s">
        <v>1365</v>
      </c>
      <c r="F71" s="7"/>
      <c r="G71" s="7" t="s">
        <v>1366</v>
      </c>
      <c r="H71" s="7" t="s">
        <v>1118</v>
      </c>
      <c r="I71" s="8"/>
      <c r="J71" s="7"/>
      <c r="K71" s="7" t="s">
        <v>1121</v>
      </c>
    </row>
    <row r="72" spans="1:11" ht="48.75" customHeight="1">
      <c r="A72" s="7" t="s">
        <v>291</v>
      </c>
      <c r="B72" s="7" t="s">
        <v>1367</v>
      </c>
      <c r="C72" s="7" t="s">
        <v>1202</v>
      </c>
      <c r="D72" s="7" t="s">
        <v>293</v>
      </c>
      <c r="E72" s="7" t="s">
        <v>1368</v>
      </c>
      <c r="F72" s="7"/>
      <c r="G72" s="7" t="s">
        <v>294</v>
      </c>
      <c r="H72" s="7" t="s">
        <v>1118</v>
      </c>
      <c r="I72" s="8"/>
      <c r="J72" s="7"/>
      <c r="K72" s="7" t="s">
        <v>1126</v>
      </c>
    </row>
    <row r="73" spans="1:11" ht="35.25" customHeight="1">
      <c r="A73" s="7" t="s">
        <v>1369</v>
      </c>
      <c r="B73" s="7" t="s">
        <v>1370</v>
      </c>
      <c r="C73" s="7" t="s">
        <v>1167</v>
      </c>
      <c r="D73" s="7" t="s">
        <v>75</v>
      </c>
      <c r="E73" s="7" t="s">
        <v>1371</v>
      </c>
      <c r="F73" s="7"/>
      <c r="G73" s="7" t="s">
        <v>1372</v>
      </c>
      <c r="H73" s="7" t="s">
        <v>1118</v>
      </c>
      <c r="I73" s="8"/>
      <c r="J73" s="7"/>
      <c r="K73" s="7" t="s">
        <v>1121</v>
      </c>
    </row>
    <row r="74" spans="1:11" ht="48.75" customHeight="1">
      <c r="A74" s="7" t="s">
        <v>1373</v>
      </c>
      <c r="B74" s="7" t="s">
        <v>1374</v>
      </c>
      <c r="C74" s="7" t="s">
        <v>1227</v>
      </c>
      <c r="D74" s="7" t="s">
        <v>1375</v>
      </c>
      <c r="E74" s="7" t="s">
        <v>1376</v>
      </c>
      <c r="F74" s="7"/>
      <c r="G74" s="7" t="s">
        <v>1377</v>
      </c>
      <c r="H74" s="7" t="s">
        <v>1118</v>
      </c>
      <c r="I74" s="8"/>
      <c r="J74" s="7" t="s">
        <v>1378</v>
      </c>
      <c r="K74" s="7" t="s">
        <v>1121</v>
      </c>
    </row>
    <row r="75" spans="1:11" ht="35.25" customHeight="1">
      <c r="A75" s="7" t="s">
        <v>1379</v>
      </c>
      <c r="B75" s="7" t="s">
        <v>1380</v>
      </c>
      <c r="C75" s="7" t="s">
        <v>1167</v>
      </c>
      <c r="D75" s="7" t="s">
        <v>75</v>
      </c>
      <c r="E75" s="7" t="s">
        <v>1381</v>
      </c>
      <c r="F75" s="7"/>
      <c r="G75" s="7" t="s">
        <v>1382</v>
      </c>
      <c r="H75" s="7" t="s">
        <v>1118</v>
      </c>
      <c r="I75" s="8"/>
      <c r="J75" s="7"/>
      <c r="K75" s="7" t="s">
        <v>1121</v>
      </c>
    </row>
    <row r="76" spans="1:11" ht="35.25" customHeight="1">
      <c r="A76" s="7" t="s">
        <v>1383</v>
      </c>
      <c r="B76" s="7" t="s">
        <v>1384</v>
      </c>
      <c r="C76" s="7" t="s">
        <v>1167</v>
      </c>
      <c r="D76" s="7" t="s">
        <v>1385</v>
      </c>
      <c r="E76" s="7" t="s">
        <v>1386</v>
      </c>
      <c r="F76" s="7"/>
      <c r="G76" s="7" t="s">
        <v>1382</v>
      </c>
      <c r="H76" s="7" t="s">
        <v>1118</v>
      </c>
      <c r="I76" s="8"/>
      <c r="J76" s="7"/>
      <c r="K76" s="7" t="s">
        <v>1121</v>
      </c>
    </row>
    <row r="77" spans="1:11" ht="35.25" customHeight="1">
      <c r="A77" s="7" t="s">
        <v>1387</v>
      </c>
      <c r="B77" s="7" t="s">
        <v>1388</v>
      </c>
      <c r="C77" s="7" t="s">
        <v>1167</v>
      </c>
      <c r="D77" s="7" t="s">
        <v>75</v>
      </c>
      <c r="E77" s="7" t="s">
        <v>1389</v>
      </c>
      <c r="F77" s="7"/>
      <c r="G77" s="7" t="s">
        <v>1382</v>
      </c>
      <c r="H77" s="7" t="s">
        <v>1118</v>
      </c>
      <c r="I77" s="8"/>
      <c r="J77" s="7"/>
      <c r="K77" s="7" t="s">
        <v>1121</v>
      </c>
    </row>
    <row r="78" spans="1:11" ht="35.25" customHeight="1">
      <c r="A78" s="7" t="s">
        <v>1390</v>
      </c>
      <c r="B78" s="7" t="s">
        <v>1391</v>
      </c>
      <c r="C78" s="7" t="s">
        <v>1167</v>
      </c>
      <c r="D78" s="7" t="s">
        <v>75</v>
      </c>
      <c r="E78" s="7" t="s">
        <v>1392</v>
      </c>
      <c r="F78" s="7"/>
      <c r="G78" s="7" t="s">
        <v>1393</v>
      </c>
      <c r="H78" s="7" t="s">
        <v>1118</v>
      </c>
      <c r="I78" s="8"/>
      <c r="J78" s="7"/>
      <c r="K78" s="7" t="s">
        <v>1121</v>
      </c>
    </row>
    <row r="79" spans="1:11" ht="35.25" customHeight="1">
      <c r="A79" s="7" t="s">
        <v>295</v>
      </c>
      <c r="B79" s="7" t="s">
        <v>1394</v>
      </c>
      <c r="C79" s="7" t="s">
        <v>1123</v>
      </c>
      <c r="D79" s="7" t="s">
        <v>136</v>
      </c>
      <c r="E79" s="7" t="s">
        <v>1395</v>
      </c>
      <c r="F79" s="7"/>
      <c r="G79" s="7" t="s">
        <v>297</v>
      </c>
      <c r="H79" s="7" t="s">
        <v>1118</v>
      </c>
      <c r="I79" s="8" t="s">
        <v>307</v>
      </c>
      <c r="J79" s="7" t="s">
        <v>1396</v>
      </c>
      <c r="K79" s="7" t="s">
        <v>1126</v>
      </c>
    </row>
    <row r="80" spans="1:11" ht="48.75" customHeight="1">
      <c r="A80" s="7" t="s">
        <v>309</v>
      </c>
      <c r="B80" s="7" t="s">
        <v>1397</v>
      </c>
      <c r="C80" s="7" t="s">
        <v>1202</v>
      </c>
      <c r="D80" s="7" t="s">
        <v>311</v>
      </c>
      <c r="E80" s="7" t="s">
        <v>1398</v>
      </c>
      <c r="F80" s="7"/>
      <c r="G80" s="7" t="s">
        <v>312</v>
      </c>
      <c r="H80" s="7" t="s">
        <v>1118</v>
      </c>
      <c r="I80" s="8" t="s">
        <v>325</v>
      </c>
      <c r="J80" s="7" t="s">
        <v>322</v>
      </c>
      <c r="K80" s="7" t="s">
        <v>1126</v>
      </c>
    </row>
    <row r="81" spans="1:11" ht="35.25" customHeight="1">
      <c r="A81" s="7" t="s">
        <v>327</v>
      </c>
      <c r="B81" s="7" t="s">
        <v>1399</v>
      </c>
      <c r="C81" s="7" t="s">
        <v>1123</v>
      </c>
      <c r="D81" s="7" t="s">
        <v>136</v>
      </c>
      <c r="E81" s="7" t="s">
        <v>1400</v>
      </c>
      <c r="F81" s="7"/>
      <c r="G81" s="7" t="s">
        <v>329</v>
      </c>
      <c r="H81" s="7" t="s">
        <v>1118</v>
      </c>
      <c r="I81" s="8" t="s">
        <v>336</v>
      </c>
      <c r="J81" s="7" t="s">
        <v>333</v>
      </c>
      <c r="K81" s="7" t="s">
        <v>1126</v>
      </c>
    </row>
    <row r="82" spans="1:11" ht="35.25" customHeight="1">
      <c r="A82" s="7" t="s">
        <v>1401</v>
      </c>
      <c r="B82" s="7" t="s">
        <v>1402</v>
      </c>
      <c r="C82" s="7" t="s">
        <v>1333</v>
      </c>
      <c r="D82" s="7" t="s">
        <v>1403</v>
      </c>
      <c r="E82" s="7" t="s">
        <v>1404</v>
      </c>
      <c r="F82" s="7"/>
      <c r="G82" s="7" t="s">
        <v>1405</v>
      </c>
      <c r="H82" s="7" t="s">
        <v>1118</v>
      </c>
      <c r="I82" s="8"/>
      <c r="J82" s="7" t="s">
        <v>1406</v>
      </c>
      <c r="K82" s="7" t="s">
        <v>1121</v>
      </c>
    </row>
    <row r="83" spans="1:11" ht="48.75" customHeight="1">
      <c r="A83" s="7" t="s">
        <v>338</v>
      </c>
      <c r="B83" s="7" t="s">
        <v>1407</v>
      </c>
      <c r="C83" s="7" t="s">
        <v>1123</v>
      </c>
      <c r="D83" s="7" t="s">
        <v>210</v>
      </c>
      <c r="E83" s="7" t="s">
        <v>1408</v>
      </c>
      <c r="F83" s="7"/>
      <c r="G83" s="7" t="s">
        <v>340</v>
      </c>
      <c r="H83" s="7" t="s">
        <v>1118</v>
      </c>
      <c r="I83" s="8" t="s">
        <v>350</v>
      </c>
      <c r="J83" s="7" t="s">
        <v>347</v>
      </c>
      <c r="K83" s="7" t="s">
        <v>1126</v>
      </c>
    </row>
    <row r="84" spans="1:11" ht="35.25" customHeight="1">
      <c r="A84" s="7" t="s">
        <v>352</v>
      </c>
      <c r="B84" s="7" t="s">
        <v>1409</v>
      </c>
      <c r="C84" s="7" t="s">
        <v>1123</v>
      </c>
      <c r="D84" s="7" t="s">
        <v>136</v>
      </c>
      <c r="E84" s="7" t="s">
        <v>1410</v>
      </c>
      <c r="F84" s="7"/>
      <c r="G84" s="7" t="s">
        <v>354</v>
      </c>
      <c r="H84" s="7" t="s">
        <v>1118</v>
      </c>
      <c r="I84" s="8" t="s">
        <v>364</v>
      </c>
      <c r="J84" s="7" t="s">
        <v>361</v>
      </c>
      <c r="K84" s="7" t="s">
        <v>1126</v>
      </c>
    </row>
    <row r="85" spans="1:11" ht="48.75" customHeight="1">
      <c r="A85" s="7" t="s">
        <v>1411</v>
      </c>
      <c r="B85" s="7" t="s">
        <v>1412</v>
      </c>
      <c r="C85" s="7" t="s">
        <v>1115</v>
      </c>
      <c r="D85" s="7" t="s">
        <v>1413</v>
      </c>
      <c r="E85" s="7" t="s">
        <v>1414</v>
      </c>
      <c r="F85" s="7"/>
      <c r="G85" s="7" t="s">
        <v>1415</v>
      </c>
      <c r="H85" s="7" t="s">
        <v>1118</v>
      </c>
      <c r="I85" s="8"/>
      <c r="J85" s="7"/>
      <c r="K85" s="7" t="s">
        <v>1121</v>
      </c>
    </row>
    <row r="86" spans="1:11" ht="48.75" customHeight="1">
      <c r="A86" s="7" t="s">
        <v>366</v>
      </c>
      <c r="B86" s="7" t="s">
        <v>1416</v>
      </c>
      <c r="C86" s="7" t="s">
        <v>1123</v>
      </c>
      <c r="D86" s="7" t="s">
        <v>210</v>
      </c>
      <c r="E86" s="7" t="s">
        <v>1417</v>
      </c>
      <c r="F86" s="7"/>
      <c r="G86" s="7" t="s">
        <v>368</v>
      </c>
      <c r="H86" s="7" t="s">
        <v>1118</v>
      </c>
      <c r="I86" s="8" t="s">
        <v>377</v>
      </c>
      <c r="J86" s="7"/>
      <c r="K86" s="7" t="s">
        <v>1126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Study Register</vt:lpstr>
      <vt:lpstr>Model Benchmark</vt:lpstr>
      <vt:lpstr>Service Benchmark</vt:lpstr>
      <vt:lpstr>Specimens</vt:lpstr>
      <vt:lpstr>Extended Properties</vt:lpstr>
      <vt:lpstr>Test Results</vt:lpstr>
      <vt:lpstr>Model Audit</vt:lpstr>
      <vt:lpstr>Reference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JL Zhang</cp:lastModifiedBy>
  <dcterms:modified xsi:type="dcterms:W3CDTF">2026-09-22T07:10:02Z</dcterms:modified>
</cp:coreProperties>
</file>